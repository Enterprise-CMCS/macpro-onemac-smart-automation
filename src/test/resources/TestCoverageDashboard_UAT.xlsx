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>
    <mc:Choice Requires="x15">
      <x15ac:absPath xmlns:x15ac="http://schemas.microsoft.com/office/spreadsheetml/2010/11/ac" url="C:\Users\57901\smart-test-automation\src\test\resources\"/>
    </mc:Choice>
  </mc:AlternateContent>
  <xr:revisionPtr revIDLastSave="0" documentId="13_ncr:1_{F85F9470-2A13-493E-8672-FC876370B32C}" xr6:coauthVersionLast="47" xr6:coauthVersionMax="47" xr10:uidLastSave="{00000000-0000-0000-0000-000000000000}"/>
  <bookViews>
    <workbookView xWindow="-120" yWindow="-120" windowWidth="29040" windowHeight="15720" activeTab="1" xr2:uid="{79FC711E-34A0-4D45-A805-C86E1CFB22CF}"/>
  </bookViews>
  <sheets>
    <sheet name="TestCoverage" sheetId="1" r:id="rId1"/>
    <sheet name="Dashboard" sheetId="2" r:id="rId2"/>
    <sheet name="Dashboard_Data" sheetId="3" r:id="rId3"/>
  </sheets>
  <definedNames>
    <definedName name="_xlnm._FilterDatabase" localSheetId="2" hidden="1">Dashboard_Data!$A$1:$F$16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2" l="1"/>
  <c r="A4" i="3"/>
  <c r="A5" i="3"/>
  <c r="A6" i="3"/>
  <c r="A7" i="3"/>
  <c r="A8" i="3"/>
  <c r="A9" i="3"/>
  <c r="A10" i="3"/>
  <c r="A11" i="3"/>
  <c r="A12" i="3"/>
  <c r="A2" i="3"/>
  <c r="A13" i="3"/>
  <c r="A14" i="3"/>
  <c r="A15" i="3"/>
  <c r="A3" i="3"/>
  <c r="B17" i="1" l="1"/>
  <c r="F7" i="1"/>
  <c r="F8" i="1"/>
  <c r="F9" i="1"/>
  <c r="F10" i="1"/>
  <c r="F11" i="1"/>
  <c r="F12" i="1"/>
  <c r="F13" i="1"/>
  <c r="F14" i="1"/>
  <c r="F15" i="1"/>
  <c r="F16" i="1"/>
  <c r="F3" i="1"/>
  <c r="F4" i="1"/>
  <c r="F5" i="1"/>
  <c r="F6" i="1"/>
  <c r="H16" i="1" l="1"/>
  <c r="G16" i="1"/>
  <c r="F4" i="3" l="1"/>
  <c r="F5" i="3"/>
  <c r="G5" i="3" s="1"/>
  <c r="H5" i="3" s="1"/>
  <c r="F6" i="3"/>
  <c r="G6" i="3" s="1"/>
  <c r="H6" i="3" s="1"/>
  <c r="F7" i="3"/>
  <c r="G7" i="3" s="1"/>
  <c r="H7" i="3" s="1"/>
  <c r="F8" i="3"/>
  <c r="G8" i="3" s="1"/>
  <c r="H8" i="3" s="1"/>
  <c r="F9" i="3"/>
  <c r="G9" i="3" s="1"/>
  <c r="H9" i="3" s="1"/>
  <c r="F10" i="3"/>
  <c r="G10" i="3" s="1"/>
  <c r="H10" i="3" s="1"/>
  <c r="F11" i="3"/>
  <c r="G11" i="3" s="1"/>
  <c r="H11" i="3" s="1"/>
  <c r="F12" i="3"/>
  <c r="G12" i="3" s="1"/>
  <c r="H12" i="3" s="1"/>
  <c r="F2" i="3"/>
  <c r="G2" i="3" s="1"/>
  <c r="H2" i="3" s="1"/>
  <c r="F13" i="3"/>
  <c r="G13" i="3" s="1"/>
  <c r="H13" i="3" s="1"/>
  <c r="F14" i="3"/>
  <c r="G14" i="3" s="1"/>
  <c r="H14" i="3" s="1"/>
  <c r="F15" i="3"/>
  <c r="G15" i="3" s="1"/>
  <c r="H15" i="3" s="1"/>
  <c r="D15" i="3"/>
  <c r="J15" i="3" s="1"/>
  <c r="C15" i="3"/>
  <c r="B15" i="3"/>
  <c r="I15" i="3" l="1"/>
  <c r="G4" i="3"/>
  <c r="H4" i="3" s="1"/>
  <c r="E15" i="3"/>
  <c r="H4" i="1" l="1"/>
  <c r="D4" i="3" s="1"/>
  <c r="J4" i="3" s="1"/>
  <c r="H5" i="1"/>
  <c r="D5" i="3" s="1"/>
  <c r="J5" i="3" s="1"/>
  <c r="H6" i="1"/>
  <c r="D6" i="3" s="1"/>
  <c r="J6" i="3" s="1"/>
  <c r="H7" i="1"/>
  <c r="D7" i="3" s="1"/>
  <c r="J7" i="3" s="1"/>
  <c r="H8" i="1"/>
  <c r="D8" i="3" s="1"/>
  <c r="J8" i="3" s="1"/>
  <c r="H9" i="1"/>
  <c r="D9" i="3" s="1"/>
  <c r="J9" i="3" s="1"/>
  <c r="H10" i="1"/>
  <c r="D10" i="3" s="1"/>
  <c r="J10" i="3" s="1"/>
  <c r="H11" i="1"/>
  <c r="D11" i="3" s="1"/>
  <c r="J11" i="3" s="1"/>
  <c r="H12" i="1"/>
  <c r="D12" i="3" s="1"/>
  <c r="J12" i="3" s="1"/>
  <c r="H13" i="1"/>
  <c r="D2" i="3" s="1"/>
  <c r="J2" i="3" s="1"/>
  <c r="H14" i="1"/>
  <c r="D13" i="3" s="1"/>
  <c r="J13" i="3" s="1"/>
  <c r="G4" i="1"/>
  <c r="C4" i="3" s="1"/>
  <c r="I4" i="3" s="1"/>
  <c r="G5" i="1"/>
  <c r="C5" i="3" s="1"/>
  <c r="I5" i="3" s="1"/>
  <c r="G6" i="1"/>
  <c r="C6" i="3" s="1"/>
  <c r="I6" i="3" s="1"/>
  <c r="G7" i="1"/>
  <c r="C7" i="3" s="1"/>
  <c r="I7" i="3" s="1"/>
  <c r="G8" i="1"/>
  <c r="C8" i="3" s="1"/>
  <c r="I8" i="3" s="1"/>
  <c r="G9" i="1"/>
  <c r="C9" i="3" s="1"/>
  <c r="I9" i="3" s="1"/>
  <c r="G10" i="1"/>
  <c r="C10" i="3" s="1"/>
  <c r="I10" i="3" s="1"/>
  <c r="G11" i="1"/>
  <c r="C11" i="3" s="1"/>
  <c r="I11" i="3" s="1"/>
  <c r="G12" i="1"/>
  <c r="C12" i="3" s="1"/>
  <c r="I12" i="3" s="1"/>
  <c r="G13" i="1"/>
  <c r="C2" i="3" s="1"/>
  <c r="I2" i="3" s="1"/>
  <c r="G14" i="1"/>
  <c r="C13" i="3" s="1"/>
  <c r="I13" i="3" s="1"/>
  <c r="B4" i="3"/>
  <c r="B5" i="3"/>
  <c r="B6" i="3"/>
  <c r="B7" i="3"/>
  <c r="B8" i="3"/>
  <c r="B9" i="3"/>
  <c r="B10" i="3"/>
  <c r="B11" i="3"/>
  <c r="B12" i="3"/>
  <c r="B2" i="3"/>
  <c r="B13" i="3"/>
  <c r="B14" i="3"/>
  <c r="F3" i="3"/>
  <c r="E17" i="1"/>
  <c r="H7" i="2" s="1"/>
  <c r="B3" i="3"/>
  <c r="D17" i="1"/>
  <c r="H6" i="2" s="1"/>
  <c r="H15" i="1"/>
  <c r="D14" i="3" s="1"/>
  <c r="J14" i="3" s="1"/>
  <c r="H3" i="1"/>
  <c r="D3" i="3" s="1"/>
  <c r="J3" i="3" s="1"/>
  <c r="C17" i="1"/>
  <c r="G15" i="1"/>
  <c r="C14" i="3" s="1"/>
  <c r="I14" i="3" s="1"/>
  <c r="G3" i="1"/>
  <c r="C3" i="3" s="1"/>
  <c r="H4" i="2"/>
  <c r="I3" i="3" l="1"/>
  <c r="E9" i="3"/>
  <c r="E5" i="3"/>
  <c r="G3" i="3"/>
  <c r="H3" i="3" s="1"/>
  <c r="G16" i="3"/>
  <c r="E4" i="3"/>
  <c r="H5" i="2"/>
  <c r="H8" i="2" s="1"/>
  <c r="E14" i="3"/>
  <c r="E2" i="3"/>
  <c r="E6" i="3"/>
  <c r="E8" i="3"/>
  <c r="E12" i="3"/>
  <c r="E11" i="3"/>
  <c r="E7" i="3"/>
  <c r="E13" i="3"/>
  <c r="E10" i="3"/>
  <c r="E3" i="3"/>
  <c r="F16" i="3"/>
  <c r="A16" i="3"/>
  <c r="G17" i="1"/>
  <c r="C16" i="3" s="1"/>
  <c r="F17" i="1"/>
  <c r="B16" i="3" s="1"/>
  <c r="H17" i="1"/>
  <c r="D16" i="3" s="1"/>
</calcChain>
</file>

<file path=xl/sharedStrings.xml><?xml version="1.0" encoding="utf-8"?>
<sst xmlns="http://schemas.openxmlformats.org/spreadsheetml/2006/main" count="44" uniqueCount="41">
  <si>
    <t>Functional Area</t>
  </si>
  <si>
    <t>Passed</t>
  </si>
  <si>
    <t>Failed</t>
  </si>
  <si>
    <t>Blocked</t>
  </si>
  <si>
    <t>Pass %</t>
  </si>
  <si>
    <t>Fail %</t>
  </si>
  <si>
    <t>Blocked %</t>
  </si>
  <si>
    <t>TOTAL</t>
  </si>
  <si>
    <t xml:space="preserve">Total Scripts: </t>
  </si>
  <si>
    <t xml:space="preserve">Total Passed:   </t>
  </si>
  <si>
    <t xml:space="preserve">Total Failed:  </t>
  </si>
  <si>
    <t xml:space="preserve">Total Blocked:  </t>
  </si>
  <si>
    <t xml:space="preserve">Overall Pass %:  </t>
  </si>
  <si>
    <t>Total Automated Tests</t>
  </si>
  <si>
    <t>User Access &amp; Permissions</t>
  </si>
  <si>
    <t>Validations &amp; Business Rules</t>
  </si>
  <si>
    <t>RAI Management</t>
  </si>
  <si>
    <t>Workflow &amp; Status Transitions</t>
  </si>
  <si>
    <t>Record Lifecycle Management</t>
  </si>
  <si>
    <t>Assignment &amp; Routing</t>
  </si>
  <si>
    <t>Timeline &amp; SLA Management</t>
  </si>
  <si>
    <t>Chart Label</t>
  </si>
  <si>
    <t>Total Tests</t>
  </si>
  <si>
    <t>Risk</t>
  </si>
  <si>
    <t>API End To End</t>
  </si>
  <si>
    <t>Execution Date:</t>
  </si>
  <si>
    <t>Execution Date &amp; Time:</t>
  </si>
  <si>
    <t>Search &amp; Filters</t>
  </si>
  <si>
    <t>Reporting &amp; Data Export</t>
  </si>
  <si>
    <t>Accessibility (Section 508 Compliance)</t>
  </si>
  <si>
    <t>Email Notifications &amp; Alerts</t>
  </si>
  <si>
    <t>Document Management</t>
  </si>
  <si>
    <t>Pending Automation %</t>
  </si>
  <si>
    <t>Remaining Label</t>
  </si>
  <si>
    <t>Dynamic Chart Label</t>
  </si>
  <si>
    <t xml:space="preserve">      Automation Execution Coverage - OneMAC SMART</t>
  </si>
  <si>
    <t>Blocked label</t>
  </si>
  <si>
    <t>SRT Review</t>
  </si>
  <si>
    <t>03/30/2026 05:50:29 PM</t>
  </si>
  <si>
    <t>04/14/2026 06:36:12 PM</t>
  </si>
  <si>
    <t>04/14/2026 07:55:21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</si>
</sst>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"/>
    <numFmt numFmtId="165" formatCode="m/d/yyyy\ h:mm:ss\ AM/PM"/>
    <numFmt numFmtId="166" formatCode="mm/dd/yyyy\ hh:mm:ss\ AM/PM"/>
  </numFmts>
  <fonts count="10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1F2937"/>
      <name val="Segoe UI"/>
      <family val="2"/>
    </font>
    <font>
      <b/>
      <sz val="11"/>
      <color theme="1"/>
      <name val="Segoe UI"/>
      <family val="2"/>
    </font>
    <font>
      <sz val="11"/>
      <color theme="1"/>
      <name val="Segoe UI"/>
      <family val="2"/>
    </font>
    <font>
      <b/>
      <sz val="11"/>
      <color rgb="FFFFFFFF"/>
      <name val="Segoe UI"/>
      <family val="2"/>
    </font>
    <font>
      <b/>
      <sz val="10"/>
      <color rgb="FF1F4E79"/>
      <name val="Segoe UI"/>
      <family val="2"/>
    </font>
    <font>
      <b/>
      <sz val="10"/>
      <color theme="1"/>
      <name val="Segoe UI"/>
      <family val="2"/>
    </font>
    <font>
      <b/>
      <sz val="22"/>
      <color theme="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/>
    <xf numFmtId="164" fontId="0" fillId="0" borderId="0" xfId="0" applyNumberFormat="1"/>
    <xf numFmtId="0" fontId="5" fillId="0" borderId="0" xfId="0" applyFont="1"/>
    <xf numFmtId="0" fontId="5" fillId="0" borderId="0" xfId="0" applyFont="1" applyAlignment="1">
      <alignment vertical="top" wrapText="1"/>
    </xf>
    <xf numFmtId="165" fontId="5" fillId="3" borderId="1" xfId="0" applyNumberFormat="1" applyFont="1" applyFill="1" applyBorder="1"/>
    <xf numFmtId="0" fontId="3" fillId="5" borderId="1" xfId="0" applyFont="1" applyFill="1" applyBorder="1" applyAlignment="1">
      <alignment horizontal="left" vertical="center" wrapText="1"/>
    </xf>
    <xf numFmtId="9" fontId="5" fillId="5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4" fillId="7" borderId="1" xfId="0" applyFont="1" applyFill="1" applyBorder="1"/>
    <xf numFmtId="0" fontId="8" fillId="2" borderId="1" xfId="0" applyFont="1" applyFill="1" applyBorder="1"/>
    <xf numFmtId="0" fontId="8" fillId="2" borderId="1" xfId="0" applyFont="1" applyFill="1" applyBorder="1" applyAlignment="1">
      <alignment horizontal="center" vertical="center"/>
    </xf>
    <xf numFmtId="9" fontId="8" fillId="2" borderId="1" xfId="0" applyNumberFormat="1" applyFont="1" applyFill="1" applyBorder="1" applyAlignment="1">
      <alignment horizontal="center" vertical="center"/>
    </xf>
    <xf numFmtId="9" fontId="4" fillId="7" borderId="1" xfId="0" applyNumberFormat="1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9" fontId="5" fillId="7" borderId="1" xfId="0" applyNumberFormat="1" applyFont="1" applyFill="1" applyBorder="1" applyAlignment="1">
      <alignment horizontal="center" vertical="center"/>
    </xf>
    <xf numFmtId="0" fontId="0" fillId="0" borderId="1" xfId="0" applyBorder="1"/>
    <xf numFmtId="9" fontId="0" fillId="0" borderId="1" xfId="0" applyNumberFormat="1" applyBorder="1"/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7" fillId="7" borderId="1" xfId="0" applyFont="1" applyFill="1" applyBorder="1" applyAlignment="1">
      <alignment vertical="center"/>
    </xf>
    <xf numFmtId="0" fontId="0" fillId="0" borderId="1" xfId="0" applyBorder="1" applyAlignment="1">
      <alignment vertical="center" wrapText="1"/>
    </xf>
    <xf numFmtId="165" fontId="0" fillId="0" borderId="4" xfId="0" applyNumberFormat="1" applyBorder="1" applyAlignment="1">
      <alignment horizontal="center"/>
    </xf>
    <xf numFmtId="166" fontId="0" fillId="0" borderId="0" xfId="0" applyNumberFormat="1"/>
    <xf numFmtId="165" fontId="0" fillId="0" borderId="5" xfId="0" applyNumberFormat="1" applyBorder="1" applyAlignment="1">
      <alignment horizontal="center"/>
    </xf>
    <xf numFmtId="165" fontId="0" fillId="0" borderId="6" xfId="0" applyNumberFormat="1" applyBorder="1" applyAlignment="1">
      <alignment horizontal="center"/>
    </xf>
    <xf numFmtId="0" fontId="9" fillId="0" borderId="0" xfId="0" applyFont="1" applyAlignment="1">
      <alignment horizontal="left" vertical="center"/>
    </xf>
  </cellXfs>
  <cellStyles count="1">
    <cellStyle name="Normal" xfId="0" builtinId="0"/>
  </cellStyles>
  <dxfs count="10">
    <dxf>
      <fill>
        <patternFill>
          <bgColor theme="9" tint="0.79998168889431442"/>
        </patternFill>
      </fill>
    </dxf>
    <dxf>
      <fill>
        <patternFill>
          <bgColor rgb="FFFFFF66"/>
        </patternFill>
      </fill>
    </dxf>
    <dxf>
      <fill>
        <patternFill>
          <bgColor rgb="FFFF505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5050"/>
        </patternFill>
      </fill>
    </dxf>
    <dxf>
      <fill>
        <patternFill>
          <bgColor rgb="FFEF8C5B"/>
        </patternFill>
      </fill>
    </dxf>
    <dxf>
      <fill>
        <patternFill>
          <bgColor theme="9" tint="0.79998168889431442"/>
        </patternFill>
      </fill>
    </dxf>
    <dxf>
      <fill>
        <patternFill>
          <bgColor rgb="FFF8696B"/>
        </patternFill>
      </fill>
    </dxf>
  </dxfs>
  <tableStyles count="0" defaultTableStyle="TableStyleMedium2" defaultPivotStyle="PivotStyleLight16"/>
  <colors>
    <mruColors>
      <color rgb="FFFF5050"/>
      <color rgb="FFFFFF66"/>
      <color rgb="FFEF8C5B"/>
      <color rgb="FFF8696B"/>
      <color rgb="FFDAF2D0"/>
      <color rgb="FFCC3300"/>
      <color rgb="FFFFFFFF"/>
      <color rgb="FFF7F7F7"/>
      <color rgb="FF4F81BD"/>
      <color rgb="FF1F4E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Relationship Id="rId7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US" sz="1800" b="1">
                <a:solidFill>
                  <a:schemeClr val="tx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Execution Status by Functional Area</a:t>
            </a:r>
          </a:p>
        </c:rich>
      </c:tx>
      <c:layout>
        <c:manualLayout>
          <c:xMode val="edge"/>
          <c:yMode val="edge"/>
          <c:x val="0.39527842010073572"/>
          <c:y val="1.41304887213109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4"/>
          <c:order val="0"/>
          <c:tx>
            <c:strRef>
              <c:f>Dashboard_Data!$B$1</c:f>
              <c:strCache>
                <c:ptCount val="1"/>
                <c:pt idx="0">
                  <c:v>Pass %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  <a:alpha val="98000"/>
              </a:schemeClr>
            </a:solidFill>
            <a:ln>
              <a:noFill/>
            </a:ln>
            <a:effectLst/>
          </c:spPr>
          <c:invertIfNegative val="0"/>
          <c:dLbls>
            <c:numFmt formatCode="0%;\-0%;&quot;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Dashboard_Data!$I$2:$I$15</c:f>
              <c:strCache>
                <c:ptCount val="14"/>
                <c:pt idx="0">
                  <c:v>⚠️ Accessibility (Section 508 Compliance) (1)</c:v>
                </c:pt>
                <c:pt idx="1">
                  <c:v>⚠️ Validations &amp; Business Rules (31)</c:v>
                </c:pt>
                <c:pt idx="2">
                  <c:v>RAI Management (8)</c:v>
                </c:pt>
                <c:pt idx="3">
                  <c:v>SRT Review (9)</c:v>
                </c:pt>
                <c:pt idx="4">
                  <c:v>Workflow &amp; Status Transitions (7)</c:v>
                </c:pt>
                <c:pt idx="5">
                  <c:v>Record Lifecycle Management (17)</c:v>
                </c:pt>
                <c:pt idx="6">
                  <c:v>User Access &amp; Permissions (7)</c:v>
                </c:pt>
                <c:pt idx="7">
                  <c:v>Assignment &amp; Routing (8)</c:v>
                </c:pt>
                <c:pt idx="8">
                  <c:v>API End To End (0)</c:v>
                </c:pt>
                <c:pt idx="9">
                  <c:v>Search &amp; Filters (0)</c:v>
                </c:pt>
                <c:pt idx="10">
                  <c:v>Reporting &amp; Data Export (0)</c:v>
                </c:pt>
                <c:pt idx="11">
                  <c:v>Email Notifications &amp; Alerts (0)</c:v>
                </c:pt>
                <c:pt idx="12">
                  <c:v>Timeline &amp; SLA Management (10)</c:v>
                </c:pt>
                <c:pt idx="13">
                  <c:v>Document Management (0)</c:v>
                </c:pt>
              </c:strCache>
            </c:strRef>
          </c:cat>
          <c:val>
            <c:numRef>
              <c:f>Dashboard_Data!$B$2:$B$15</c:f>
              <c:numCache>
                <c:formatCode>0%</c:formatCode>
                <c:ptCount val="14"/>
                <c:pt idx="0">
                  <c:v>0</c:v>
                </c:pt>
                <c:pt idx="1">
                  <c:v>0.93548387096774188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6E-45FE-8991-B3D9A8DE49D8}"/>
            </c:ext>
          </c:extLst>
        </c:ser>
        <c:ser>
          <c:idx val="5"/>
          <c:order val="1"/>
          <c:tx>
            <c:strRef>
              <c:f>Dashboard_Data!$C$1</c:f>
              <c:strCache>
                <c:ptCount val="1"/>
                <c:pt idx="0">
                  <c:v>Fail %</c:v>
                </c:pt>
              </c:strCache>
            </c:strRef>
          </c:tx>
          <c:spPr>
            <a:solidFill>
              <a:srgbClr val="FF694B"/>
            </a:solidFill>
            <a:ln>
              <a:noFill/>
            </a:ln>
            <a:effectLst/>
          </c:spPr>
          <c:invertIfNegative val="0"/>
          <c:dLbls>
            <c:numFmt formatCode="0%;\-0%;&quot;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Dashboard_Data!$I$2:$I$15</c:f>
              <c:strCache>
                <c:ptCount val="14"/>
                <c:pt idx="0">
                  <c:v>⚠️ Accessibility (Section 508 Compliance) (1)</c:v>
                </c:pt>
                <c:pt idx="1">
                  <c:v>⚠️ Validations &amp; Business Rules (31)</c:v>
                </c:pt>
                <c:pt idx="2">
                  <c:v>RAI Management (8)</c:v>
                </c:pt>
                <c:pt idx="3">
                  <c:v>SRT Review (9)</c:v>
                </c:pt>
                <c:pt idx="4">
                  <c:v>Workflow &amp; Status Transitions (7)</c:v>
                </c:pt>
                <c:pt idx="5">
                  <c:v>Record Lifecycle Management (17)</c:v>
                </c:pt>
                <c:pt idx="6">
                  <c:v>User Access &amp; Permissions (7)</c:v>
                </c:pt>
                <c:pt idx="7">
                  <c:v>Assignment &amp; Routing (8)</c:v>
                </c:pt>
                <c:pt idx="8">
                  <c:v>API End To End (0)</c:v>
                </c:pt>
                <c:pt idx="9">
                  <c:v>Search &amp; Filters (0)</c:v>
                </c:pt>
                <c:pt idx="10">
                  <c:v>Reporting &amp; Data Export (0)</c:v>
                </c:pt>
                <c:pt idx="11">
                  <c:v>Email Notifications &amp; Alerts (0)</c:v>
                </c:pt>
                <c:pt idx="12">
                  <c:v>Timeline &amp; SLA Management (10)</c:v>
                </c:pt>
                <c:pt idx="13">
                  <c:v>Document Management (0)</c:v>
                </c:pt>
              </c:strCache>
            </c:strRef>
          </c:cat>
          <c:val>
            <c:numRef>
              <c:f>Dashboard_Data!$C$2:$C$15</c:f>
              <c:numCache>
                <c:formatCode>0%</c:formatCode>
                <c:ptCount val="14"/>
                <c:pt idx="0">
                  <c:v>1</c:v>
                </c:pt>
                <c:pt idx="1">
                  <c:v>6.4516129032258063E-2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6E-45FE-8991-B3D9A8DE49D8}"/>
            </c:ext>
          </c:extLst>
        </c:ser>
        <c:ser>
          <c:idx val="6"/>
          <c:order val="2"/>
          <c:tx>
            <c:v>Blocked</c:v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628B9EA9-89FB-4894-A9E8-3C8B37BDA44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0828-4F43-8022-2CA88E3DA78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A0167F32-3FFF-47A0-BFCB-6704E6DECF3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0828-4F43-8022-2CA88E3DA78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C3C54C4E-86EB-471E-9671-F0B4525FEA5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0828-4F43-8022-2CA88E3DA78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74037F13-F8DC-43FE-A8E5-1A928B7E721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0828-4F43-8022-2CA88E3DA78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D8BD1AB0-5A3C-4BC3-B3BA-B7885361101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0828-4F43-8022-2CA88E3DA78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AE66600F-0B38-4436-B16E-FDA6CA4638B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0828-4F43-8022-2CA88E3DA78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FA3ED816-DBDB-4EE1-8284-0E9E2820EC6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0828-4F43-8022-2CA88E3DA78C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CC9EDF8D-71DA-4DDD-A392-B04CA378028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0828-4F43-8022-2CA88E3DA78C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FBB9EBE6-C4AC-42E5-BA77-1281A94DE48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0828-4F43-8022-2CA88E3DA78C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FF193D4E-D108-4B10-A1AD-076168A071C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0828-4F43-8022-2CA88E3DA78C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AFB06330-DA14-467E-B6D3-790F4A9EFE7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0828-4F43-8022-2CA88E3DA78C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3FB840F3-5776-4A58-B6E1-94E4486DECF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0828-4F43-8022-2CA88E3DA78C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25712B00-6464-49F4-81F8-C2F81842EC5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0828-4F43-8022-2CA88E3DA78C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E28DAB9D-684C-45EC-930F-DD9C7C18A48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0828-4F43-8022-2CA88E3DA78C}"/>
                </c:ext>
              </c:extLst>
            </c:dLbl>
            <c:numFmt formatCode="0%;\-0%;&quot;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Dashboard_Data!$I$2:$I$15</c:f>
              <c:strCache>
                <c:ptCount val="14"/>
                <c:pt idx="0">
                  <c:v>⚠️ Accessibility (Section 508 Compliance) (1)</c:v>
                </c:pt>
                <c:pt idx="1">
                  <c:v>⚠️ Validations &amp; Business Rules (31)</c:v>
                </c:pt>
                <c:pt idx="2">
                  <c:v>RAI Management (8)</c:v>
                </c:pt>
                <c:pt idx="3">
                  <c:v>SRT Review (9)</c:v>
                </c:pt>
                <c:pt idx="4">
                  <c:v>Workflow &amp; Status Transitions (7)</c:v>
                </c:pt>
                <c:pt idx="5">
                  <c:v>Record Lifecycle Management (17)</c:v>
                </c:pt>
                <c:pt idx="6">
                  <c:v>User Access &amp; Permissions (7)</c:v>
                </c:pt>
                <c:pt idx="7">
                  <c:v>Assignment &amp; Routing (8)</c:v>
                </c:pt>
                <c:pt idx="8">
                  <c:v>API End To End (0)</c:v>
                </c:pt>
                <c:pt idx="9">
                  <c:v>Search &amp; Filters (0)</c:v>
                </c:pt>
                <c:pt idx="10">
                  <c:v>Reporting &amp; Data Export (0)</c:v>
                </c:pt>
                <c:pt idx="11">
                  <c:v>Email Notifications &amp; Alerts (0)</c:v>
                </c:pt>
                <c:pt idx="12">
                  <c:v>Timeline &amp; SLA Management (10)</c:v>
                </c:pt>
                <c:pt idx="13">
                  <c:v>Document Management (0)</c:v>
                </c:pt>
              </c:strCache>
            </c:strRef>
          </c:cat>
          <c:val>
            <c:numRef>
              <c:f>Dashboard_Data!$D$2:$D$15</c:f>
              <c:numCache>
                <c:formatCode>0%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Dashboard_Data!$J$2:$J$15</c15:f>
                <c15:dlblRangeCache>
                  <c:ptCount val="14"/>
                </c15:dlblRangeCache>
              </c15:datalabelsRange>
            </c:ext>
            <c:ext xmlns:c16="http://schemas.microsoft.com/office/drawing/2014/chart" uri="{C3380CC4-5D6E-409C-BE32-E72D297353CC}">
              <c16:uniqueId val="{00000002-FB6E-45FE-8991-B3D9A8DE49D8}"/>
            </c:ext>
          </c:extLst>
        </c:ser>
        <c:ser>
          <c:idx val="0"/>
          <c:order val="3"/>
          <c:tx>
            <c:v>Not Automated</c:v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C45FE45E-6C3C-4BA7-A8CC-3517844F29B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0828-4F43-8022-2CA88E3DA78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1265293-6260-4E48-9B2B-9A05B8DFE47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0828-4F43-8022-2CA88E3DA78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DFEDAE41-B3B4-49A0-8B60-48AFE6A3BF6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0828-4F43-8022-2CA88E3DA78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17EB1791-0AFB-4F8E-85C3-A99607CE31E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0828-4F43-8022-2CA88E3DA78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06DD9118-998E-4E52-AB95-D0055FBE08E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0828-4F43-8022-2CA88E3DA78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DA365F32-443F-439C-901F-3B90D01E05B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0828-4F43-8022-2CA88E3DA78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DFA2C739-7E00-4569-89D9-038696E30C1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0828-4F43-8022-2CA88E3DA78C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20AE6C04-3B74-4C31-B475-10F35842C54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0828-4F43-8022-2CA88E3DA78C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DB60A831-B2E9-49A9-A145-8DFDC78443C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0828-4F43-8022-2CA88E3DA78C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A21B692F-5060-4905-9EDE-A5C9939029F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0828-4F43-8022-2CA88E3DA78C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38271A87-C9BC-4937-9DCF-AD30AD97B06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0828-4F43-8022-2CA88E3DA78C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F3C3B93A-6402-415F-B72B-8310DFC3EC1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0828-4F43-8022-2CA88E3DA78C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489F7521-4FF1-4ECC-B830-A2E7D3D3C9A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0828-4F43-8022-2CA88E3DA78C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7090F557-D22A-4F3B-B8DD-D81313A742D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0828-4F43-8022-2CA88E3DA78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Dashboard_Data!$I$2:$I$15</c:f>
              <c:strCache>
                <c:ptCount val="14"/>
                <c:pt idx="0">
                  <c:v>⚠️ Accessibility (Section 508 Compliance) (1)</c:v>
                </c:pt>
                <c:pt idx="1">
                  <c:v>⚠️ Validations &amp; Business Rules (31)</c:v>
                </c:pt>
                <c:pt idx="2">
                  <c:v>RAI Management (8)</c:v>
                </c:pt>
                <c:pt idx="3">
                  <c:v>SRT Review (9)</c:v>
                </c:pt>
                <c:pt idx="4">
                  <c:v>Workflow &amp; Status Transitions (7)</c:v>
                </c:pt>
                <c:pt idx="5">
                  <c:v>Record Lifecycle Management (17)</c:v>
                </c:pt>
                <c:pt idx="6">
                  <c:v>User Access &amp; Permissions (7)</c:v>
                </c:pt>
                <c:pt idx="7">
                  <c:v>Assignment &amp; Routing (8)</c:v>
                </c:pt>
                <c:pt idx="8">
                  <c:v>API End To End (0)</c:v>
                </c:pt>
                <c:pt idx="9">
                  <c:v>Search &amp; Filters (0)</c:v>
                </c:pt>
                <c:pt idx="10">
                  <c:v>Reporting &amp; Data Export (0)</c:v>
                </c:pt>
                <c:pt idx="11">
                  <c:v>Email Notifications &amp; Alerts (0)</c:v>
                </c:pt>
                <c:pt idx="12">
                  <c:v>Timeline &amp; SLA Management (10)</c:v>
                </c:pt>
                <c:pt idx="13">
                  <c:v>Document Management (0)</c:v>
                </c:pt>
              </c:strCache>
            </c:strRef>
          </c:cat>
          <c:val>
            <c:numRef>
              <c:f>Dashboard_Data!$G$2:$G$15</c:f>
              <c:numCache>
                <c:formatCode>0%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  <c:pt idx="13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Dashboard_Data!$H$2:$H$15</c15:f>
                <c15:dlblRangeCache>
                  <c:ptCount val="14"/>
                  <c:pt idx="8">
                    <c:v>Not Automated</c:v>
                  </c:pt>
                  <c:pt idx="9">
                    <c:v>Not Automated</c:v>
                  </c:pt>
                  <c:pt idx="10">
                    <c:v>Not Automated</c:v>
                  </c:pt>
                  <c:pt idx="11">
                    <c:v>Not Automated</c:v>
                  </c:pt>
                  <c:pt idx="13">
                    <c:v>Not Automated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29EC-408F-AD2C-7EC024EDF90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2"/>
        <c:overlap val="100"/>
        <c:axId val="974676704"/>
        <c:axId val="974680544"/>
      </c:barChart>
      <c:catAx>
        <c:axId val="97467670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t" anchorCtr="0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974680544"/>
        <c:crosses val="autoZero"/>
        <c:auto val="1"/>
        <c:lblAlgn val="ctr"/>
        <c:lblOffset val="100"/>
        <c:noMultiLvlLbl val="0"/>
      </c:catAx>
      <c:valAx>
        <c:axId val="974680544"/>
        <c:scaling>
          <c:orientation val="minMax"/>
          <c:max val="1"/>
          <c:min val="0"/>
        </c:scaling>
        <c:delete val="0"/>
        <c:axPos val="t"/>
        <c:numFmt formatCode="0%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4676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3472849566582685"/>
          <c:y val="0.92002766460406049"/>
          <c:w val="0.51387630993906852"/>
          <c:h val="7.948110674781810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28025</xdr:colOff>
      <xdr:row>9</xdr:row>
      <xdr:rowOff>20606</xdr:rowOff>
    </xdr:from>
    <xdr:to>
      <xdr:col>15</xdr:col>
      <xdr:colOff>398584</xdr:colOff>
      <xdr:row>32</xdr:row>
      <xdr:rowOff>132935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2772C7-455B-4AB9-9F57-817449EC11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27542-4B70-47E8-B3EC-391C17B60C17}">
  <dimension ref="A1:I17"/>
  <sheetViews>
    <sheetView showGridLines="0" zoomScale="175" zoomScaleNormal="175" workbookViewId="0">
      <selection activeCell="B1" sqref="B1:H1"/>
    </sheetView>
  </sheetViews>
  <sheetFormatPr defaultRowHeight="15" x14ac:dyDescent="0.25"/>
  <cols>
    <col min="1" max="1" customWidth="true" width="34.7109375"/>
    <col min="2" max="3" customWidth="true" width="24.5703125"/>
    <col min="4" max="4" customWidth="true" width="14.7109375"/>
    <col min="5" max="5" customWidth="true" width="9.140625"/>
    <col min="6" max="6" customWidth="true" width="8.140625"/>
    <col min="7" max="7" customWidth="true" width="7.140625"/>
    <col min="8" max="8" customWidth="true" width="11.28515625"/>
    <col min="9" max="9" customWidth="true" width="24.0"/>
  </cols>
  <sheetData>
    <row r="1" spans="1:9" ht="15" customHeight="1" x14ac:dyDescent="0.25">
      <c r="A1" s="23" t="s">
        <v>26</v>
      </c>
      <c r="B1" s="25" t="s">
        <v>40</v>
      </c>
      <c r="C1" s="26">
        <v>46111.738459328706</v>
      </c>
      <c r="D1" s="27"/>
      <c r="E1" s="27"/>
      <c r="F1" s="27"/>
      <c r="G1" s="27"/>
      <c r="H1" s="28"/>
    </row>
    <row r="2" spans="1:9" ht="16.5" x14ac:dyDescent="0.25">
      <c r="A2" s="11" t="s">
        <v>0</v>
      </c>
      <c r="B2" s="11" t="s">
        <v>13</v>
      </c>
      <c r="C2" s="11" t="s">
        <v>1</v>
      </c>
      <c r="D2" s="11" t="s">
        <v>2</v>
      </c>
      <c r="E2" s="11" t="s">
        <v>3</v>
      </c>
      <c r="F2" s="11" t="s">
        <v>4</v>
      </c>
      <c r="G2" s="11" t="s">
        <v>5</v>
      </c>
      <c r="H2" s="11" t="s">
        <v>6</v>
      </c>
    </row>
    <row r="3" spans="1:9" ht="16.5" x14ac:dyDescent="0.25">
      <c r="A3" s="6" t="s">
        <v>15</v>
      </c>
      <c r="B3" s="9" t="n">
        <v>31.0</v>
      </c>
      <c r="C3" s="9" t="n">
        <v>29.0</v>
      </c>
      <c r="D3" s="9" t="n">
        <v>2.0</v>
      </c>
      <c r="E3" s="9" t="n">
        <v>0.0</v>
      </c>
      <c r="F3" s="7" t="n">
        <f>IF(B3=0,"",C3/B3)</f>
        <v>0.9354838709677419</v>
      </c>
      <c r="G3" s="7" t="n">
        <f>IFERROR(D3/B3,0)</f>
        <v>0.06451612903225806</v>
      </c>
      <c r="H3" s="7" t="n">
        <f>IFERROR(E3/B3,0)</f>
        <v>0.0</v>
      </c>
    </row>
    <row r="4" spans="1:9" ht="16.5" x14ac:dyDescent="0.25">
      <c r="A4" s="8" t="s">
        <v>16</v>
      </c>
      <c r="B4" s="10">
        <v>8</v>
      </c>
      <c r="C4" s="10">
        <v>8</v>
      </c>
      <c r="D4" s="10">
        <v>0</v>
      </c>
      <c r="E4" s="10">
        <v>0</v>
      </c>
      <c r="F4" s="7" t="n">
        <f t="shared" ref="F4:F16" si="0">IF(B4=0,"",C4/B4)</f>
        <v>1.0</v>
      </c>
      <c r="G4" s="7" t="n">
        <f t="shared" ref="G4:G14" si="1">IFERROR(D4/B4,0)</f>
        <v>0.0</v>
      </c>
      <c r="H4" s="7" t="n">
        <f t="shared" ref="H4:H14" si="2">IFERROR(E4/B4,0)</f>
        <v>0.0</v>
      </c>
    </row>
    <row r="5" spans="1:9" ht="16.5" x14ac:dyDescent="0.25">
      <c r="A5" s="6" t="s">
        <v>37</v>
      </c>
      <c r="B5" s="9" t="n">
        <v>9.0</v>
      </c>
      <c r="C5" s="9" t="n">
        <v>8.0</v>
      </c>
      <c r="D5" s="9" t="n">
        <v>1.0</v>
      </c>
      <c r="E5" s="9" t="n">
        <v>0.0</v>
      </c>
      <c r="F5" s="7" t="n">
        <f t="shared" si="0"/>
        <v>0.8888888888888888</v>
      </c>
      <c r="G5" s="7" t="n">
        <f t="shared" si="1"/>
        <v>0.1111111111111111</v>
      </c>
      <c r="H5" s="7" t="n">
        <f t="shared" si="2"/>
        <v>0.0</v>
      </c>
    </row>
    <row r="6" spans="1:9" ht="16.5" x14ac:dyDescent="0.25">
      <c r="A6" s="8" t="s">
        <v>17</v>
      </c>
      <c r="B6" s="10" t="n">
        <v>7.0</v>
      </c>
      <c r="C6" s="10" t="n">
        <v>7.0</v>
      </c>
      <c r="D6" s="10" t="n">
        <v>0.0</v>
      </c>
      <c r="E6" s="10" t="n">
        <v>0.0</v>
      </c>
      <c r="F6" s="7" t="n">
        <f t="shared" si="0"/>
        <v>1.0</v>
      </c>
      <c r="G6" s="7" t="n">
        <f t="shared" si="1"/>
        <v>0.0</v>
      </c>
      <c r="H6" s="7" t="n">
        <f t="shared" si="2"/>
        <v>0.0</v>
      </c>
    </row>
    <row r="7" spans="1:9" ht="16.5" x14ac:dyDescent="0.25">
      <c r="A7" s="6" t="s">
        <v>18</v>
      </c>
      <c r="B7" s="9" t="n">
        <v>17.0</v>
      </c>
      <c r="C7" s="9" t="n">
        <v>17.0</v>
      </c>
      <c r="D7" s="9" t="n">
        <v>0.0</v>
      </c>
      <c r="E7" s="9" t="n">
        <v>0.0</v>
      </c>
      <c r="F7" s="7" t="n">
        <f t="shared" si="0"/>
        <v>1.0</v>
      </c>
      <c r="G7" s="7" t="n">
        <f t="shared" si="1"/>
        <v>0.0</v>
      </c>
      <c r="H7" s="7" t="n">
        <f t="shared" si="2"/>
        <v>0.0</v>
      </c>
    </row>
    <row r="8" spans="1:9" ht="16.5" x14ac:dyDescent="0.25">
      <c r="A8" s="8" t="s">
        <v>14</v>
      </c>
      <c r="B8" s="9" t="n">
        <v>7.0</v>
      </c>
      <c r="C8" s="10" t="n">
        <v>7.0</v>
      </c>
      <c r="D8" s="10" t="n">
        <v>0.0</v>
      </c>
      <c r="E8" s="10" t="n">
        <v>0.0</v>
      </c>
      <c r="F8" s="7" t="n">
        <f t="shared" si="0"/>
        <v>1.0</v>
      </c>
      <c r="G8" s="7" t="n">
        <f t="shared" si="1"/>
        <v>0.0</v>
      </c>
      <c r="H8" s="7" t="n">
        <f t="shared" si="2"/>
        <v>0.0</v>
      </c>
    </row>
    <row r="9" spans="1:9" s="1" customFormat="1" ht="16.5" x14ac:dyDescent="0.25">
      <c r="A9" s="6" t="s">
        <v>19</v>
      </c>
      <c r="B9" s="9" t="n">
        <v>8.0</v>
      </c>
      <c r="C9" s="9" t="n">
        <v>8.0</v>
      </c>
      <c r="D9" s="9" t="n">
        <v>0.0</v>
      </c>
      <c r="E9" s="9" t="n">
        <v>0.0</v>
      </c>
      <c r="F9" s="7" t="n">
        <f t="shared" si="0"/>
        <v>1.0</v>
      </c>
      <c r="G9" s="7" t="n">
        <f t="shared" si="1"/>
        <v>0.0</v>
      </c>
      <c r="H9" s="7" t="n">
        <f t="shared" si="2"/>
        <v>0.0</v>
      </c>
      <c r="I9" s="2"/>
    </row>
    <row r="10" spans="1:9" s="1" customFormat="1" ht="16.5" x14ac:dyDescent="0.25">
      <c r="A10" s="8" t="s">
        <v>24</v>
      </c>
      <c r="B10" s="9"/>
      <c r="C10" s="10"/>
      <c r="D10" s="10"/>
      <c r="E10" s="10"/>
      <c r="F10" s="7" t="str">
        <f t="shared" si="0"/>
        <v/>
      </c>
      <c r="G10" s="7" t="n">
        <f t="shared" si="1"/>
        <v>0.0</v>
      </c>
      <c r="H10" s="7" t="n">
        <f t="shared" si="2"/>
        <v>0.0</v>
      </c>
      <c r="I10" s="2"/>
    </row>
    <row r="11" spans="1:9" s="1" customFormat="1" ht="16.5" x14ac:dyDescent="0.25">
      <c r="A11" s="6" t="s">
        <v>27</v>
      </c>
      <c r="B11" s="9"/>
      <c r="C11" s="9"/>
      <c r="D11" s="9"/>
      <c r="E11" s="9"/>
      <c r="F11" s="7" t="str">
        <f t="shared" si="0"/>
        <v/>
      </c>
      <c r="G11" s="7" t="n">
        <f t="shared" si="1"/>
        <v>0.0</v>
      </c>
      <c r="H11" s="7" t="n">
        <f t="shared" si="2"/>
        <v>0.0</v>
      </c>
      <c r="I11" s="2"/>
    </row>
    <row r="12" spans="1:9" s="1" customFormat="1" ht="16.5" x14ac:dyDescent="0.25">
      <c r="A12" s="8" t="s">
        <v>28</v>
      </c>
      <c r="B12" s="9"/>
      <c r="C12" s="10"/>
      <c r="D12" s="10"/>
      <c r="E12" s="10"/>
      <c r="F12" s="7" t="str">
        <f t="shared" si="0"/>
        <v/>
      </c>
      <c r="G12" s="7" t="n">
        <f t="shared" si="1"/>
        <v>0.0</v>
      </c>
      <c r="H12" s="7" t="n">
        <f t="shared" si="2"/>
        <v>0.0</v>
      </c>
      <c r="I12" s="2"/>
    </row>
    <row r="13" spans="1:9" s="1" customFormat="1" ht="13.5" customHeight="1" x14ac:dyDescent="0.25">
      <c r="A13" s="6" t="s">
        <v>29</v>
      </c>
      <c r="B13" s="9" t="n">
        <v>7.0</v>
      </c>
      <c r="C13" s="9" t="n">
        <v>5.0</v>
      </c>
      <c r="D13" s="9" t="n">
        <v>2.0</v>
      </c>
      <c r="E13" s="9" t="n">
        <v>0.0</v>
      </c>
      <c r="F13" s="7" t="n">
        <f t="shared" si="0"/>
        <v>0.7142857142857143</v>
      </c>
      <c r="G13" s="7" t="n">
        <f t="shared" si="1"/>
        <v>0.2857142857142857</v>
      </c>
      <c r="H13" s="7" t="n">
        <f t="shared" si="2"/>
        <v>0.0</v>
      </c>
      <c r="I13" s="2"/>
    </row>
    <row r="14" spans="1:9" s="1" customFormat="1" ht="16.5" x14ac:dyDescent="0.25">
      <c r="A14" s="8" t="s">
        <v>30</v>
      </c>
      <c r="B14" s="9"/>
      <c r="C14" s="10"/>
      <c r="D14" s="10"/>
      <c r="E14" s="10"/>
      <c r="F14" s="7" t="str">
        <f t="shared" si="0"/>
        <v/>
      </c>
      <c r="G14" s="7" t="n">
        <f t="shared" si="1"/>
        <v>0.0</v>
      </c>
      <c r="H14" s="7" t="n">
        <f t="shared" si="2"/>
        <v>0.0</v>
      </c>
      <c r="I14" s="2"/>
    </row>
    <row r="15" spans="1:9" ht="16.5" x14ac:dyDescent="0.25">
      <c r="A15" s="6" t="s">
        <v>20</v>
      </c>
      <c r="B15" s="9" t="n">
        <v>10.0</v>
      </c>
      <c r="C15" s="9" t="n">
        <v>10.0</v>
      </c>
      <c r="D15" s="9" t="n">
        <v>0.0</v>
      </c>
      <c r="E15" s="9" t="n">
        <v>0.0</v>
      </c>
      <c r="F15" s="7" t="n">
        <f t="shared" si="0"/>
        <v>1.0</v>
      </c>
      <c r="G15" s="7" t="n">
        <f>IFERROR(D15/B15,0)</f>
        <v>0.0</v>
      </c>
      <c r="H15" s="7" t="n">
        <f t="shared" ref="H15:H17" si="3">IFERROR(E15/B15,0)</f>
        <v>0.0</v>
      </c>
    </row>
    <row r="16" spans="1:9" ht="16.5" x14ac:dyDescent="0.25">
      <c r="A16" s="8" t="s">
        <v>31</v>
      </c>
      <c r="B16" s="9"/>
      <c r="C16" s="10"/>
      <c r="D16" s="10"/>
      <c r="E16" s="10"/>
      <c r="F16" s="7" t="str">
        <f t="shared" si="0"/>
        <v/>
      </c>
      <c r="G16" s="7" t="n">
        <f>IFERROR(D16/B16,0)</f>
        <v>0.0</v>
      </c>
      <c r="H16" s="7" t="n">
        <f t="shared" si="3"/>
        <v>0.0</v>
      </c>
    </row>
    <row r="17" spans="1:8" x14ac:dyDescent="0.25">
      <c r="A17" s="13" t="s">
        <v>7</v>
      </c>
      <c r="B17" s="14" t="n">
        <f>SUM(B3:B16)</f>
        <v>104.0</v>
      </c>
      <c r="C17" s="14" t="n">
        <f>SUM(C3:C15)</f>
        <v>99.0</v>
      </c>
      <c r="D17" s="14" t="n">
        <f>SUM(D3:D15)</f>
        <v>5.0</v>
      </c>
      <c r="E17" s="14" t="n">
        <f>SUM(E3:E15)</f>
        <v>0.0</v>
      </c>
      <c r="F17" s="15" t="n">
        <f t="shared" ref="F17" si="4">IFERROR(C17/B17,0)</f>
        <v>0.9519230769230769</v>
      </c>
      <c r="G17" s="15" t="n">
        <f t="shared" ref="G17" si="5">IFERROR(D17/B17,0)</f>
        <v>0.04807692307692308</v>
      </c>
      <c r="H17" s="15" t="n">
        <f t="shared" si="3"/>
        <v>0.0</v>
      </c>
    </row>
  </sheetData>
  <mergeCells count="1">
    <mergeCell ref="B1:H1"/>
  </mergeCells>
  <phoneticPr fontId="1" type="noConversion"/>
  <conditionalFormatting sqref="F3:F16">
    <cfRule type="colorScale" priority="5">
      <colorScale>
        <cfvo type="num" val="0"/>
        <cfvo type="num" val="0.6"/>
        <cfvo type="num" val="1"/>
        <color rgb="FFF8696B"/>
        <color rgb="FFFFEB84"/>
        <color rgb="FFDAF2D0"/>
      </colorScale>
    </cfRule>
  </conditionalFormatting>
  <conditionalFormatting sqref="G3:G16">
    <cfRule type="cellIs" dxfId="9" priority="4" operator="greaterThan">
      <formula>0</formula>
    </cfRule>
  </conditionalFormatting>
  <conditionalFormatting sqref="G3:H16">
    <cfRule type="cellIs" dxfId="8" priority="1" operator="equal">
      <formula>0</formula>
    </cfRule>
  </conditionalFormatting>
  <conditionalFormatting sqref="H3:H16">
    <cfRule type="cellIs" dxfId="7" priority="2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33FBF-1B6F-4496-80CB-20AA79BD08C8}">
  <dimension ref="A1:P8"/>
  <sheetViews>
    <sheetView showGridLines="0" tabSelected="1" topLeftCell="A2" zoomScaleNormal="100" workbookViewId="0">
      <selection activeCell="N6" sqref="N6"/>
    </sheetView>
  </sheetViews>
  <sheetFormatPr defaultRowHeight="15" x14ac:dyDescent="0.25"/>
  <cols>
    <col min="1" max="1" customWidth="true" width="14.7109375"/>
    <col min="2" max="2" customWidth="true" width="23.5703125"/>
    <col min="5" max="5" customWidth="true" width="18.0"/>
    <col min="6" max="6" customWidth="true" width="25.7109375"/>
    <col min="7" max="7" customWidth="true" width="15.85546875"/>
    <col min="8" max="8" customWidth="true" width="49.140625"/>
  </cols>
  <sheetData>
    <row r="1" spans="1:16" ht="33" x14ac:dyDescent="0.25">
      <c r="E1" s="29" t="s">
        <v>35</v>
      </c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</row>
    <row r="3" spans="1:16" ht="16.5" x14ac:dyDescent="0.3">
      <c r="A3" s="3"/>
      <c r="B3" s="3"/>
      <c r="C3" s="3"/>
      <c r="D3" s="3"/>
      <c r="G3" s="5" t="s">
        <v>25</v>
      </c>
      <c r="H3" s="5" t="str">
        <f>TestCoverage!B1</f>
        <v>04/14/2026 07:55:21 PM</v>
      </c>
      <c r="I3" s="3"/>
      <c r="J3" s="3"/>
      <c r="K3" s="3"/>
      <c r="L3" s="3"/>
    </row>
    <row r="4" spans="1:16" ht="16.5" x14ac:dyDescent="0.3">
      <c r="A4" s="4"/>
      <c r="B4" s="4"/>
      <c r="C4" s="4"/>
      <c r="D4" s="3"/>
      <c r="G4" s="12" t="s">
        <v>8</v>
      </c>
      <c r="H4" s="17" t="n">
        <f>TestCoverage!B17</f>
        <v>104.0</v>
      </c>
      <c r="I4" s="3"/>
      <c r="J4" s="3"/>
      <c r="K4" s="3"/>
      <c r="L4" s="3"/>
    </row>
    <row r="5" spans="1:16" ht="16.5" x14ac:dyDescent="0.3">
      <c r="A5" s="4"/>
      <c r="B5" s="4"/>
      <c r="C5" s="4"/>
      <c r="D5" s="3"/>
      <c r="G5" s="12" t="s">
        <v>9</v>
      </c>
      <c r="H5" s="17" t="n">
        <f>TestCoverage!C17</f>
        <v>99.0</v>
      </c>
      <c r="I5" s="3"/>
      <c r="J5" s="3"/>
      <c r="K5" s="3"/>
      <c r="L5" s="3"/>
    </row>
    <row r="6" spans="1:16" ht="16.5" x14ac:dyDescent="0.3">
      <c r="A6" s="4"/>
      <c r="B6" s="4"/>
      <c r="C6" s="4"/>
      <c r="D6" s="3"/>
      <c r="G6" s="12" t="s">
        <v>10</v>
      </c>
      <c r="H6" s="17" t="n">
        <f>TestCoverage!D17</f>
        <v>5.0</v>
      </c>
      <c r="I6" s="3"/>
      <c r="J6" s="3"/>
      <c r="K6" s="3"/>
      <c r="L6" s="3"/>
    </row>
    <row r="7" spans="1:16" ht="16.5" x14ac:dyDescent="0.3">
      <c r="A7" s="4"/>
      <c r="B7" s="4"/>
      <c r="C7" s="4"/>
      <c r="D7" s="3"/>
      <c r="G7" s="12" t="s">
        <v>11</v>
      </c>
      <c r="H7" s="17" t="n">
        <f>TestCoverage!E17</f>
        <v>0.0</v>
      </c>
      <c r="I7" s="3"/>
      <c r="J7" s="3"/>
      <c r="K7" s="3"/>
      <c r="L7" s="3"/>
    </row>
    <row r="8" spans="1:16" ht="16.5" x14ac:dyDescent="0.3">
      <c r="A8" s="3"/>
      <c r="B8" s="3"/>
      <c r="C8" s="3"/>
      <c r="D8" s="3"/>
      <c r="G8" s="12" t="s">
        <v>12</v>
      </c>
      <c r="H8" s="16" t="n">
        <f>IFERROR(H5/H4,"")</f>
        <v>0.9519230769230769</v>
      </c>
      <c r="I8" s="3"/>
      <c r="J8" s="3"/>
      <c r="K8" s="3"/>
      <c r="L8" s="3"/>
    </row>
  </sheetData>
  <mergeCells count="1">
    <mergeCell ref="E1:P1"/>
  </mergeCells>
  <conditionalFormatting sqref="G6:H6">
    <cfRule type="expression" dxfId="6" priority="1">
      <formula>$H$6&gt;0</formula>
    </cfRule>
    <cfRule type="expression" dxfId="5" priority="2">
      <formula>$H$6=0</formula>
    </cfRule>
  </conditionalFormatting>
  <conditionalFormatting sqref="G7:H7">
    <cfRule type="expression" dxfId="4" priority="3">
      <formula>$H$7&gt;0</formula>
    </cfRule>
    <cfRule type="expression" dxfId="3" priority="4">
      <formula>$H$7=0</formula>
    </cfRule>
  </conditionalFormatting>
  <conditionalFormatting sqref="G8:H8">
    <cfRule type="cellIs" dxfId="2" priority="5" operator="lessThan">
      <formula>0.6</formula>
    </cfRule>
    <cfRule type="cellIs" dxfId="1" priority="6" operator="between">
      <formula>0.6</formula>
      <formula>0.79</formula>
    </cfRule>
    <cfRule type="cellIs" dxfId="0" priority="7" operator="greaterThanOrEqual">
      <formula>0.8</formula>
    </cfRule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17E08-797F-444D-BF6E-D4C8FC527215}">
  <dimension ref="A1:J16"/>
  <sheetViews>
    <sheetView workbookViewId="0">
      <selection activeCell="E2" sqref="E2"/>
    </sheetView>
  </sheetViews>
  <sheetFormatPr defaultRowHeight="15" x14ac:dyDescent="0.25"/>
  <cols>
    <col min="1" max="1" customWidth="true" width="37.85546875"/>
    <col min="2" max="2" customWidth="true" width="14.0"/>
    <col min="4" max="5" customWidth="true" width="13.85546875"/>
    <col min="6" max="6" customWidth="true" width="10.42578125"/>
    <col min="7" max="7" customWidth="true" width="26.140625"/>
    <col min="8" max="8" customWidth="true" width="23.5703125"/>
    <col min="9" max="9" customWidth="true" width="39.140625"/>
    <col min="10" max="10" customWidth="true" width="33.7109375"/>
  </cols>
  <sheetData>
    <row r="1" spans="1:10" x14ac:dyDescent="0.25">
      <c r="A1" s="22" t="s">
        <v>21</v>
      </c>
      <c r="B1" s="22" t="s">
        <v>4</v>
      </c>
      <c r="C1" s="22" t="s">
        <v>5</v>
      </c>
      <c r="D1" s="22" t="s">
        <v>6</v>
      </c>
      <c r="E1" s="22" t="s">
        <v>23</v>
      </c>
      <c r="F1" s="22" t="s">
        <v>22</v>
      </c>
      <c r="G1" s="22" t="s">
        <v>32</v>
      </c>
      <c r="H1" s="21" t="s">
        <v>33</v>
      </c>
      <c r="I1" t="s" s="0">
        <v>34</v>
      </c>
      <c r="J1" s="24" t="s">
        <v>36</v>
      </c>
    </row>
    <row r="2" spans="1:10" ht="16.5" x14ac:dyDescent="0.25">
      <c r="A2" s="19" t="str">
        <f>TestCoverage!A13 &amp; " (" &amp; IFERROR(TestCoverage!B13+0,0) &amp; ")"</f>
        <v>Accessibility (Section 508 Compliance) (7)</v>
      </c>
      <c r="B2" s="20" t="n">
        <f>TestCoverage!F13</f>
        <v>0.7142857142857143</v>
      </c>
      <c r="C2" s="20" t="n">
        <f>TestCoverage!G13</f>
        <v>0.2857142857142857</v>
      </c>
      <c r="D2" s="20" t="n">
        <f>TestCoverage!H13</f>
        <v>0.0</v>
      </c>
      <c r="E2" s="20" t="n">
        <f>C2 + D2</f>
        <v>0.2857142857142857</v>
      </c>
      <c r="F2" s="19" t="n">
        <f>TestCoverage!B13</f>
        <v>7.0</v>
      </c>
      <c r="G2" s="18" t="n">
        <f>IF($F2=0,1,0)</f>
        <v>0.0</v>
      </c>
      <c r="H2" s="19" t="str">
        <f>IF(G2=100%,"Not Automated","")</f>
        <v/>
      </c>
      <c r="I2" s="19" t="str">
        <f>IF(AND(C2&gt;0,F2&gt;0),"⚠️ "&amp;A2,A2)</f>
        <v>⚠️ Accessibility (Section 508 Compliance) (7)</v>
      </c>
      <c r="J2" s="19" t="str">
        <f>IF(D2=100%,"Blocked","")</f>
        <v/>
      </c>
    </row>
    <row r="3" spans="1:10" ht="16.5" x14ac:dyDescent="0.25">
      <c r="A3" s="19" t="str">
        <f>TestCoverage!A3 &amp; " (" &amp; IFERROR(TestCoverage!B3+0,0) &amp; ")"</f>
        <v>Validations &amp; Business Rules (31)</v>
      </c>
      <c r="B3" s="20" t="n">
        <f>TestCoverage!F3</f>
        <v>0.9354838709677419</v>
      </c>
      <c r="C3" s="20" t="n">
        <f>TestCoverage!G3</f>
        <v>0.06451612903225806</v>
      </c>
      <c r="D3" s="20" t="n">
        <f>TestCoverage!H3</f>
        <v>0.0</v>
      </c>
      <c r="E3" s="20" t="n">
        <f>C3 + D3</f>
        <v>0.06451612903225806</v>
      </c>
      <c r="F3" s="19" t="n">
        <f>TestCoverage!B3</f>
        <v>31.0</v>
      </c>
      <c r="G3" s="18" t="n">
        <f>IF($F3=0,1,0)</f>
        <v>0.0</v>
      </c>
      <c r="H3" s="19" t="str">
        <f>IF(G3=100%,"Not Automated","")</f>
        <v/>
      </c>
      <c r="I3" s="19" t="str">
        <f>IF(AND(C3&gt;0,F3&gt;0),"⚠️ "&amp;A3,A3)</f>
        <v>⚠️ Validations &amp; Business Rules (31)</v>
      </c>
      <c r="J3" s="19" t="str">
        <f>IF(D3=100%,"Blocked","")</f>
        <v/>
      </c>
    </row>
    <row r="4" spans="1:10" ht="16.5" x14ac:dyDescent="0.25">
      <c r="A4" s="19" t="str">
        <f>TestCoverage!A4 &amp; " (" &amp; IFERROR(TestCoverage!B4+0,0) &amp; ")"</f>
        <v>RAI Management (8)</v>
      </c>
      <c r="B4" s="20" t="n">
        <f>TestCoverage!F4</f>
        <v>1.0</v>
      </c>
      <c r="C4" s="20" t="n">
        <f>TestCoverage!G4</f>
        <v>0.0</v>
      </c>
      <c r="D4" s="20" t="n">
        <f>TestCoverage!H4</f>
        <v>0.0</v>
      </c>
      <c r="E4" s="20" t="n">
        <f>C4 + D4</f>
        <v>0.0</v>
      </c>
      <c r="F4" s="19" t="n">
        <f>TestCoverage!B4</f>
        <v>8.0</v>
      </c>
      <c r="G4" s="18" t="n">
        <f>IF($F4=0,1,0)</f>
        <v>0.0</v>
      </c>
      <c r="H4" s="19" t="str">
        <f>IF(G4=100%,"Not Automated","")</f>
        <v/>
      </c>
      <c r="I4" s="19" t="str">
        <f>IF(AND(C4&gt;0,F4&gt;0),"⚠️ "&amp;A4,A4)</f>
        <v>RAI Management (8)</v>
      </c>
      <c r="J4" s="19" t="str">
        <f>IF(D4=100%,"Blocked","")</f>
        <v/>
      </c>
    </row>
    <row r="5" spans="1:10" ht="16.5" x14ac:dyDescent="0.25">
      <c r="A5" s="19" t="str">
        <f>TestCoverage!A5 &amp; " (" &amp; IFERROR(TestCoverage!B5+0,0) &amp; ")"</f>
        <v>SRT Review (9)</v>
      </c>
      <c r="B5" s="20" t="n">
        <f>TestCoverage!F5</f>
        <v>0.8888888888888888</v>
      </c>
      <c r="C5" s="20" t="n">
        <f>TestCoverage!G5</f>
        <v>0.1111111111111111</v>
      </c>
      <c r="D5" s="20" t="n">
        <f>TestCoverage!H5</f>
        <v>0.0</v>
      </c>
      <c r="E5" s="20" t="n">
        <f>C5 + D5</f>
        <v>0.1111111111111111</v>
      </c>
      <c r="F5" s="19" t="n">
        <f>TestCoverage!B5</f>
        <v>9.0</v>
      </c>
      <c r="G5" s="18" t="n">
        <f>IF($F5=0,1,0)</f>
        <v>0.0</v>
      </c>
      <c r="H5" s="19" t="str">
        <f>IF(G5=100%,"Not Automated","")</f>
        <v/>
      </c>
      <c r="I5" s="19" t="str">
        <f>IF(AND(C5&gt;0,F5&gt;0),"⚠️ "&amp;A5,A5)</f>
        <v>⚠️ SRT Review (9)</v>
      </c>
      <c r="J5" s="19" t="str">
        <f>IF(D5=100%,"Blocked","")</f>
        <v/>
      </c>
    </row>
    <row r="6" spans="1:10" ht="16.5" x14ac:dyDescent="0.25">
      <c r="A6" s="19" t="str">
        <f>TestCoverage!A6 &amp; " (" &amp; IFERROR(TestCoverage!B6+0,0) &amp; ")"</f>
        <v>Workflow &amp; Status Transitions (7)</v>
      </c>
      <c r="B6" s="20" t="n">
        <f>TestCoverage!F6</f>
        <v>1.0</v>
      </c>
      <c r="C6" s="20" t="n">
        <f>TestCoverage!G6</f>
        <v>0.0</v>
      </c>
      <c r="D6" s="20" t="n">
        <f>TestCoverage!H6</f>
        <v>0.0</v>
      </c>
      <c r="E6" s="20" t="n">
        <f>C6 + D6</f>
        <v>0.0</v>
      </c>
      <c r="F6" s="19" t="n">
        <f>TestCoverage!B6</f>
        <v>7.0</v>
      </c>
      <c r="G6" s="18" t="n">
        <f>IF($F6=0,1,0)</f>
        <v>0.0</v>
      </c>
      <c r="H6" s="19" t="str">
        <f>IF(G6=100%,"Not Automated","")</f>
        <v/>
      </c>
      <c r="I6" s="19" t="str">
        <f>IF(AND(C6&gt;0,F6&gt;0),"⚠️ "&amp;A6,A6)</f>
        <v>Workflow &amp; Status Transitions (7)</v>
      </c>
      <c r="J6" s="19" t="str">
        <f>IF(D6=100%,"Blocked","")</f>
        <v/>
      </c>
    </row>
    <row r="7" spans="1:10" ht="16.5" x14ac:dyDescent="0.25">
      <c r="A7" s="19" t="str">
        <f>TestCoverage!A7 &amp; " (" &amp; IFERROR(TestCoverage!B7+0,0) &amp; ")"</f>
        <v>Record Lifecycle Management (17)</v>
      </c>
      <c r="B7" s="20" t="n">
        <f>TestCoverage!F7</f>
        <v>1.0</v>
      </c>
      <c r="C7" s="20" t="n">
        <f>TestCoverage!G7</f>
        <v>0.0</v>
      </c>
      <c r="D7" s="20" t="n">
        <f>TestCoverage!H7</f>
        <v>0.0</v>
      </c>
      <c r="E7" s="20" t="n">
        <f>C7 + D7</f>
        <v>0.0</v>
      </c>
      <c r="F7" s="19" t="n">
        <f>TestCoverage!B7</f>
        <v>17.0</v>
      </c>
      <c r="G7" s="18" t="n">
        <f>IF($F7=0,1,0)</f>
        <v>0.0</v>
      </c>
      <c r="H7" s="19" t="str">
        <f>IF(G7=100%,"Not Automated","")</f>
        <v/>
      </c>
      <c r="I7" s="19" t="str">
        <f>IF(AND(C7&gt;0,F7&gt;0),"⚠️ "&amp;A7,A7)</f>
        <v>Record Lifecycle Management (17)</v>
      </c>
      <c r="J7" s="19" t="str">
        <f>IF(D7=100%,"Blocked","")</f>
        <v/>
      </c>
    </row>
    <row r="8" spans="1:10" ht="16.5" x14ac:dyDescent="0.25">
      <c r="A8" s="19" t="str">
        <f>TestCoverage!A8 &amp; " (" &amp; IFERROR(TestCoverage!B8+0,0) &amp; ")"</f>
        <v>User Access &amp; Permissions (7)</v>
      </c>
      <c r="B8" s="20" t="n">
        <f>TestCoverage!F8</f>
        <v>1.0</v>
      </c>
      <c r="C8" s="20" t="n">
        <f>TestCoverage!G8</f>
        <v>0.0</v>
      </c>
      <c r="D8" s="20" t="n">
        <f>TestCoverage!H8</f>
        <v>0.0</v>
      </c>
      <c r="E8" s="20" t="n">
        <f>C8 + D8</f>
        <v>0.0</v>
      </c>
      <c r="F8" s="19" t="n">
        <f>TestCoverage!B8</f>
        <v>7.0</v>
      </c>
      <c r="G8" s="18" t="n">
        <f>IF($F8=0,1,0)</f>
        <v>0.0</v>
      </c>
      <c r="H8" s="19" t="str">
        <f>IF(G8=100%,"Not Automated","")</f>
        <v/>
      </c>
      <c r="I8" s="19" t="str">
        <f>IF(AND(C8&gt;0,F8&gt;0),"⚠️ "&amp;A8,A8)</f>
        <v>User Access &amp; Permissions (7)</v>
      </c>
      <c r="J8" s="19" t="str">
        <f>IF(D8=100%,"Blocked","")</f>
        <v/>
      </c>
    </row>
    <row r="9" spans="1:10" ht="16.5" x14ac:dyDescent="0.25">
      <c r="A9" s="19" t="str">
        <f>TestCoverage!A9 &amp; " (" &amp; IFERROR(TestCoverage!B9+0,0) &amp; ")"</f>
        <v>Assignment &amp; Routing (8)</v>
      </c>
      <c r="B9" s="20" t="n">
        <f>TestCoverage!F9</f>
        <v>1.0</v>
      </c>
      <c r="C9" s="20" t="n">
        <f>TestCoverage!G9</f>
        <v>0.0</v>
      </c>
      <c r="D9" s="20" t="n">
        <f>TestCoverage!H9</f>
        <v>0.0</v>
      </c>
      <c r="E9" s="20" t="n">
        <f>C9 + D9</f>
        <v>0.0</v>
      </c>
      <c r="F9" s="19" t="n">
        <f>TestCoverage!B9</f>
        <v>8.0</v>
      </c>
      <c r="G9" s="18" t="n">
        <f>IF($F9=0,1,0)</f>
        <v>0.0</v>
      </c>
      <c r="H9" s="19" t="str">
        <f>IF(G9=100%,"Not Automated","")</f>
        <v/>
      </c>
      <c r="I9" s="19" t="str">
        <f>IF(AND(C9&gt;0,F9&gt;0),"⚠️ "&amp;A9,A9)</f>
        <v>Assignment &amp; Routing (8)</v>
      </c>
      <c r="J9" s="19" t="str">
        <f>IF(D9=100%,"Blocked","")</f>
        <v/>
      </c>
    </row>
    <row r="10" spans="1:10" ht="16.5" x14ac:dyDescent="0.25">
      <c r="A10" s="19" t="str">
        <f>TestCoverage!A10 &amp; " (" &amp; IFERROR(TestCoverage!B10+0,0) &amp; ")"</f>
        <v>API End To End (0)</v>
      </c>
      <c r="B10" s="20" t="str">
        <f>TestCoverage!F10</f>
        <v/>
      </c>
      <c r="C10" s="20" t="n">
        <f>TestCoverage!G10</f>
        <v>0.0</v>
      </c>
      <c r="D10" s="20" t="n">
        <f>TestCoverage!H10</f>
        <v>0.0</v>
      </c>
      <c r="E10" s="20" t="n">
        <f>C10 + D10</f>
        <v>0.0</v>
      </c>
      <c r="F10" s="19" t="n">
        <f>TestCoverage!B10</f>
        <v>0.0</v>
      </c>
      <c r="G10" s="18" t="n">
        <f>IF($F10=0,1,0)</f>
        <v>1.0</v>
      </c>
      <c r="H10" s="19" t="str">
        <f>IF(G10=100%,"Not Automated","")</f>
        <v>Not Automated</v>
      </c>
      <c r="I10" s="19" t="str">
        <f>IF(AND(C10&gt;0,F10&gt;0),"⚠️ "&amp;A10,A10)</f>
        <v>API End To End (0)</v>
      </c>
      <c r="J10" s="19" t="str">
        <f>IF(D10=100%,"Blocked","")</f>
        <v/>
      </c>
    </row>
    <row r="11" spans="1:10" ht="16.5" x14ac:dyDescent="0.25">
      <c r="A11" s="19" t="str">
        <f>TestCoverage!A11 &amp; " (" &amp; IFERROR(TestCoverage!B11+0,0) &amp; ")"</f>
        <v>Search &amp; Filters (0)</v>
      </c>
      <c r="B11" s="20" t="str">
        <f>TestCoverage!F11</f>
        <v/>
      </c>
      <c r="C11" s="20" t="n">
        <f>TestCoverage!G11</f>
        <v>0.0</v>
      </c>
      <c r="D11" s="20" t="n">
        <f>TestCoverage!H11</f>
        <v>0.0</v>
      </c>
      <c r="E11" s="20" t="n">
        <f>C11 + D11</f>
        <v>0.0</v>
      </c>
      <c r="F11" s="19" t="n">
        <f>TestCoverage!B11</f>
        <v>0.0</v>
      </c>
      <c r="G11" s="18" t="n">
        <f>IF($F11=0,1,0)</f>
        <v>1.0</v>
      </c>
      <c r="H11" s="19" t="str">
        <f>IF(G11=100%,"Not Automated","")</f>
        <v>Not Automated</v>
      </c>
      <c r="I11" s="19" t="str">
        <f>IF(AND(C11&gt;0,F11&gt;0),"⚠️ "&amp;A11,A11)</f>
        <v>Search &amp; Filters (0)</v>
      </c>
      <c r="J11" s="19" t="str">
        <f>IF(D11=100%,"Blocked","")</f>
        <v/>
      </c>
    </row>
    <row r="12" spans="1:10" ht="16.5" x14ac:dyDescent="0.25">
      <c r="A12" s="19" t="str">
        <f>TestCoverage!A12 &amp; " (" &amp; IFERROR(TestCoverage!B12+0,0) &amp; ")"</f>
        <v>Reporting &amp; Data Export (0)</v>
      </c>
      <c r="B12" s="20" t="str">
        <f>TestCoverage!F12</f>
        <v/>
      </c>
      <c r="C12" s="20" t="n">
        <f>TestCoverage!G12</f>
        <v>0.0</v>
      </c>
      <c r="D12" s="20" t="n">
        <f>TestCoverage!H12</f>
        <v>0.0</v>
      </c>
      <c r="E12" s="20" t="n">
        <f>C12 + D12</f>
        <v>0.0</v>
      </c>
      <c r="F12" s="19" t="n">
        <f>TestCoverage!B12</f>
        <v>0.0</v>
      </c>
      <c r="G12" s="18" t="n">
        <f>IF($F12=0,1,0)</f>
        <v>1.0</v>
      </c>
      <c r="H12" s="19" t="str">
        <f>IF(G12=100%,"Not Automated","")</f>
        <v>Not Automated</v>
      </c>
      <c r="I12" s="19" t="str">
        <f>IF(AND(C12&gt;0,F12&gt;0),"⚠️ "&amp;A12,A12)</f>
        <v>Reporting &amp; Data Export (0)</v>
      </c>
      <c r="J12" s="19" t="str">
        <f>IF(D12=100%,"Blocked","")</f>
        <v/>
      </c>
    </row>
    <row r="13" spans="1:10" ht="16.5" x14ac:dyDescent="0.25">
      <c r="A13" s="19" t="str">
        <f>TestCoverage!A14 &amp; " (" &amp; IFERROR(TestCoverage!B14+0,0) &amp; ")"</f>
        <v>Email Notifications &amp; Alerts (0)</v>
      </c>
      <c r="B13" s="20" t="str">
        <f>TestCoverage!F14</f>
        <v/>
      </c>
      <c r="C13" s="20" t="n">
        <f>TestCoverage!G14</f>
        <v>0.0</v>
      </c>
      <c r="D13" s="20" t="n">
        <f>TestCoverage!H14</f>
        <v>0.0</v>
      </c>
      <c r="E13" s="20" t="n">
        <f>C13 + D13</f>
        <v>0.0</v>
      </c>
      <c r="F13" s="19" t="n">
        <f>TestCoverage!B14</f>
        <v>0.0</v>
      </c>
      <c r="G13" s="18" t="n">
        <f>IF($F13=0,1,0)</f>
        <v>1.0</v>
      </c>
      <c r="H13" s="19" t="str">
        <f>IF(G13=100%,"Not Automated","")</f>
        <v>Not Automated</v>
      </c>
      <c r="I13" s="19" t="str">
        <f>IF(AND(C13&gt;0,F13&gt;0),"⚠️ "&amp;A13,A13)</f>
        <v>Email Notifications &amp; Alerts (0)</v>
      </c>
      <c r="J13" s="19" t="str">
        <f>IF(D13=100%,"Blocked","")</f>
        <v/>
      </c>
    </row>
    <row r="14" spans="1:10" ht="16.5" x14ac:dyDescent="0.25">
      <c r="A14" s="19" t="str">
        <f>TestCoverage!A15 &amp; " (" &amp; IFERROR(TestCoverage!B15+0,0) &amp; ")"</f>
        <v>Timeline &amp; SLA Management (10)</v>
      </c>
      <c r="B14" s="20" t="n">
        <f>TestCoverage!F15</f>
        <v>1.0</v>
      </c>
      <c r="C14" s="20" t="n">
        <f>TestCoverage!G15</f>
        <v>0.0</v>
      </c>
      <c r="D14" s="20" t="n">
        <f>TestCoverage!H15</f>
        <v>0.0</v>
      </c>
      <c r="E14" s="20" t="n">
        <f>C14 + D14</f>
        <v>0.0</v>
      </c>
      <c r="F14" s="19" t="n">
        <f>TestCoverage!B15</f>
        <v>10.0</v>
      </c>
      <c r="G14" s="18" t="n">
        <f>IF($F14=0,1,0)</f>
        <v>0.0</v>
      </c>
      <c r="H14" s="19" t="str">
        <f>IF(G14=100%,"Not Automated","")</f>
        <v/>
      </c>
      <c r="I14" s="19" t="str">
        <f>IF(AND(C14&gt;0,F14&gt;0),"⚠️ "&amp;A14,A14)</f>
        <v>Timeline &amp; SLA Management (10)</v>
      </c>
      <c r="J14" s="19" t="str">
        <f>IF(D14=100%,"Blocked","")</f>
        <v/>
      </c>
    </row>
    <row r="15" spans="1:10" ht="16.5" x14ac:dyDescent="0.25">
      <c r="A15" s="19" t="str">
        <f>TestCoverage!A16 &amp; " (" &amp; IFERROR(TestCoverage!B16+0,0) &amp; ")"</f>
        <v>Document Management (0)</v>
      </c>
      <c r="B15" s="20" t="str">
        <f>TestCoverage!F16</f>
        <v/>
      </c>
      <c r="C15" s="20" t="n">
        <f>TestCoverage!G16</f>
        <v>0.0</v>
      </c>
      <c r="D15" s="20" t="n">
        <f>TestCoverage!H16</f>
        <v>0.0</v>
      </c>
      <c r="E15" s="20" t="n">
        <f>C15 + D15</f>
        <v>0.0</v>
      </c>
      <c r="F15" s="19" t="n">
        <f>TestCoverage!B16</f>
        <v>0.0</v>
      </c>
      <c r="G15" s="18" t="n">
        <f>IF($F15=0,1,0)</f>
        <v>1.0</v>
      </c>
      <c r="H15" s="19" t="str">
        <f>IF(G15=100%,"Not Automated","")</f>
        <v>Not Automated</v>
      </c>
      <c r="I15" s="19" t="str">
        <f>IF(AND(C15&gt;0,F15&gt;0),"⚠️ "&amp;A15,A15)</f>
        <v>Document Management (0)</v>
      </c>
      <c r="J15" s="19" t="str">
        <f>IF(D15=100%,"Blocked","")</f>
        <v/>
      </c>
    </row>
    <row r="16" spans="1:10" ht="16.5" x14ac:dyDescent="0.25">
      <c r="A16" s="19" t="str">
        <f>TestCoverage!A17 &amp; " (" &amp; TestCoverage!B17 &amp; ")"</f>
        <v>TOTAL (104)</v>
      </c>
      <c r="B16" s="20" t="n">
        <f>TestCoverage!F17</f>
        <v>0.9519230769230769</v>
      </c>
      <c r="C16" s="20" t="n">
        <f>TestCoverage!G17</f>
        <v>0.04807692307692308</v>
      </c>
      <c r="D16" s="20" t="n">
        <f>TestCoverage!H17</f>
        <v>0.0</v>
      </c>
      <c r="E16" s="20"/>
      <c r="F16" s="19" t="n">
        <f>TestCoverage!B17</f>
        <v>104.0</v>
      </c>
      <c r="G16" s="18" t="n">
        <f>COUNTIF(F2:F14,0)/COUNTA(A2:A14)</f>
        <v>0.3076923076923077</v>
      </c>
      <c r="H16" s="19"/>
      <c r="I16" s="19"/>
      <c r="J16" s="19"/>
    </row>
  </sheetData>
  <sortState xmlns:xlrd2="http://schemas.microsoft.com/office/spreadsheetml/2017/richdata2" ref="A2:J16">
    <sortCondition descending="1" ref="E2:E1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TestCoverage</vt:lpstr>
      <vt:lpstr>Dashboard</vt:lpstr>
      <vt:lpstr>Dashboard_Data</vt:lpstr>
    </vt:vector>
  </TitlesOfParts>
  <Company>ICF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2026-02-20T17:13:13Z</dcterms:created>
  <dc:creator>Ammar, Amjad</dc:creator>
  <cp:lastModifiedBy>Ammar, Amjad</cp:lastModifiedBy>
  <dcterms:modified xsi:type="dcterms:W3CDTF">2026-03-30T21:53:29Z</dcterms:modified>
</cp:coreProperties>
</file>