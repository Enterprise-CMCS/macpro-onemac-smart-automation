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>
    <mc:Choice Requires="x15">
      <x15ac:absPath xmlns:x15ac="http://schemas.microsoft.com/office/spreadsheetml/2010/11/ac" url="C:\Users\57901\smart-test-automation\src\test\resources\"/>
    </mc:Choice>
  </mc:AlternateContent>
  <xr:revisionPtr revIDLastSave="0" documentId="13_ncr:1_{696CB8ED-02C8-4055-BE8C-E74B01936500}" xr6:coauthVersionLast="47" xr6:coauthVersionMax="47" xr10:uidLastSave="{00000000-0000-0000-0000-000000000000}"/>
  <bookViews>
    <workbookView xWindow="28680" yWindow="-120" windowWidth="29040" windowHeight="16440" xr2:uid="{79FC711E-34A0-4D45-A805-C86E1CFB22CF}"/>
  </bookViews>
  <sheets>
    <sheet name="TestCoverage" sheetId="1" r:id="rId1"/>
    <sheet name="Dashboard" sheetId="2" r:id="rId2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1" l="1"/>
  <c r="F5" i="2" s="1"/>
  <c r="H8" i="1"/>
  <c r="H7" i="1"/>
  <c r="H6" i="1"/>
  <c r="G8" i="1"/>
  <c r="G7" i="1"/>
  <c r="G6" i="1"/>
  <c r="F8" i="1"/>
  <c r="F7" i="1"/>
  <c r="F6" i="1"/>
  <c r="B10" i="1"/>
  <c r="F3" i="2" s="1"/>
  <c r="F2" i="1"/>
  <c r="H3" i="1"/>
  <c r="H4" i="1"/>
  <c r="H5" i="1"/>
  <c r="H9" i="1"/>
  <c r="H2" i="1"/>
  <c r="G3" i="1"/>
  <c r="G4" i="1"/>
  <c r="G5" i="1"/>
  <c r="G9" i="1"/>
  <c r="G2" i="1"/>
  <c r="F3" i="1"/>
  <c r="F4" i="1"/>
  <c r="F5" i="1"/>
  <c r="F9" i="1"/>
  <c r="C10" i="1"/>
  <c r="F4" i="2" s="1"/>
  <c r="E10" i="1"/>
  <c r="F6" i="2" s="1"/>
  <c r="G10" i="1" l="1"/>
  <c r="F10" i="1"/>
  <c r="H10" i="1"/>
  <c r="F7" i="2"/>
</calcChain>
</file>

<file path=xl/sharedStrings.xml><?xml version="1.0" encoding="utf-8"?>
<sst xmlns="http://schemas.openxmlformats.org/spreadsheetml/2006/main" count="31" uniqueCount="23">
  <si>
    <t>Functional Area</t>
  </si>
  <si>
    <t>Passed</t>
  </si>
  <si>
    <t>Failed</t>
  </si>
  <si>
    <t>Blocked</t>
  </si>
  <si>
    <t>Pass %</t>
  </si>
  <si>
    <t>Fail %</t>
  </si>
  <si>
    <t>Blocked %</t>
  </si>
  <si>
    <t>TOTAL</t>
  </si>
  <si>
    <t xml:space="preserve">Total Scripts: </t>
  </si>
  <si>
    <t xml:space="preserve">Total Passed:   </t>
  </si>
  <si>
    <t xml:space="preserve">Total Failed:  </t>
  </si>
  <si>
    <t xml:space="preserve">Total Blocked:  </t>
  </si>
  <si>
    <t xml:space="preserve">Overall Pass %:  </t>
  </si>
  <si>
    <t>Test Coverage Dashboard</t>
  </si>
  <si>
    <t>Total Automated Tests</t>
  </si>
  <si>
    <t>User Access &amp; Permissions</t>
  </si>
  <si>
    <t>Validations &amp; Business Rules</t>
  </si>
  <si>
    <t>RAI Management</t>
  </si>
  <si>
    <t>SRT Review Workflow</t>
  </si>
  <si>
    <t>Workflow &amp; Status Transitions</t>
  </si>
  <si>
    <t>Record Lifecycle Management</t>
  </si>
  <si>
    <t>Assignment &amp; Routing</t>
  </si>
  <si>
    <t>Timeline &amp; SLA Management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</si>
</sst>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7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Segoe UI Semibold"/>
      <family val="2"/>
    </font>
    <font>
      <b/>
      <sz val="11"/>
      <color theme="1"/>
      <name val="Aptos Narrow"/>
      <family val="2"/>
      <scheme val="minor"/>
    </font>
    <font>
      <b/>
      <sz val="11"/>
      <color theme="1"/>
      <name val="Quire Sans Light"/>
      <family val="2"/>
    </font>
    <font>
      <b/>
      <sz val="24"/>
      <color theme="1"/>
      <name val="Aptos Narrow"/>
      <family val="2"/>
      <scheme val="minor"/>
    </font>
    <font>
      <sz val="10"/>
      <color rgb="FF1F2937"/>
      <name val="Segoe UI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FFFF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3" fillId="0" borderId="0" xfId="0" applyFont="1"/>
    <xf numFmtId="9" fontId="0" fillId="2" borderId="1" xfId="0" applyNumberFormat="1" applyFill="1" applyBorder="1"/>
    <xf numFmtId="9" fontId="0" fillId="2" borderId="1" xfId="0" applyNumberFormat="1" applyFill="1" applyBorder="1" applyAlignment="1">
      <alignment horizontal="center" vertical="center"/>
    </xf>
    <xf numFmtId="0" fontId="0" fillId="0" borderId="0" xfId="0" applyAlignment="1">
      <alignment vertical="top" wrapText="1"/>
    </xf>
    <xf numFmtId="9" fontId="0" fillId="2" borderId="2" xfId="0" applyNumberFormat="1" applyFill="1" applyBorder="1"/>
    <xf numFmtId="9" fontId="0" fillId="2" borderId="2" xfId="0" applyNumberFormat="1" applyFill="1" applyBorder="1" applyAlignment="1">
      <alignment horizontal="center" vertical="center"/>
    </xf>
    <xf numFmtId="9" fontId="3" fillId="2" borderId="3" xfId="0" applyNumberFormat="1" applyFont="1" applyFill="1" applyBorder="1"/>
    <xf numFmtId="9" fontId="3" fillId="2" borderId="4" xfId="0" applyNumberFormat="1" applyFont="1" applyFill="1" applyBorder="1" applyAlignment="1">
      <alignment horizontal="center" vertical="center"/>
    </xf>
    <xf numFmtId="0" fontId="0" fillId="3" borderId="1" xfId="0" applyFill="1" applyBorder="1"/>
    <xf numFmtId="0" fontId="0" fillId="3" borderId="2" xfId="0" applyFill="1" applyBorder="1"/>
    <xf numFmtId="0" fontId="3" fillId="3" borderId="3" xfId="0" applyFont="1" applyFill="1" applyBorder="1"/>
    <xf numFmtId="0" fontId="0" fillId="4" borderId="0" xfId="0" applyFill="1"/>
    <xf numFmtId="0" fontId="0" fillId="0" borderId="1" xfId="0" applyBorder="1"/>
    <xf numFmtId="9" fontId="0" fillId="0" borderId="1" xfId="0" applyNumberFormat="1" applyBorder="1"/>
    <xf numFmtId="0" fontId="2" fillId="3" borderId="1" xfId="0" applyFont="1" applyFill="1" applyBorder="1"/>
    <xf numFmtId="0" fontId="4" fillId="3" borderId="1" xfId="0" applyFont="1" applyFill="1" applyBorder="1"/>
    <xf numFmtId="0" fontId="6" fillId="5" borderId="5" xfId="0" applyFont="1" applyFill="1" applyBorder="1" applyAlignment="1">
      <alignment horizontal="left" vertical="center" wrapText="1"/>
    </xf>
    <xf numFmtId="0" fontId="3" fillId="3" borderId="6" xfId="0" applyFont="1" applyFill="1" applyBorder="1"/>
    <xf numFmtId="0" fontId="6" fillId="5" borderId="1" xfId="0" applyFont="1" applyFill="1" applyBorder="1" applyAlignment="1">
      <alignment horizontal="left" vertical="center" wrapText="1"/>
    </xf>
    <xf numFmtId="0" fontId="5" fillId="0" borderId="0" xfId="0" applyFont="1" applyAlignment="1">
      <alignment horizontal="center"/>
    </xf>
  </cellXfs>
  <cellStyles count="1">
    <cellStyle name="Normal" xfId="0" builtinId="0"/>
  </cellStyles>
  <dxfs count="2">
    <dxf>
      <font>
        <color theme="0"/>
      </font>
      <fill>
        <patternFill>
          <bgColor theme="9" tint="0.59996337778862885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FF5050"/>
      <color rgb="FFFFFF66"/>
      <color rgb="FFFF5C3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theme/theme1.xml" Type="http://schemas.openxmlformats.org/officeDocument/2006/relationships/theme"/><Relationship Id="rId4" Target="styles.xml" Type="http://schemas.openxmlformats.org/officeDocument/2006/relationships/styles"/><Relationship Id="rId5" Target="sharedStrings.xml" Type="http://schemas.openxmlformats.org/officeDocument/2006/relationships/sharedStrings"/><Relationship Id="rId6" Target="calcChain.xml" Type="http://schemas.openxmlformats.org/officeDocument/2006/relationships/calcChain"/></Relationships>
</file>

<file path=xl/charts/_rels/chart1.xml.rels><?xml version="1.0" encoding="UTF-8" standalone="no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>
                <a:solidFill>
                  <a:schemeClr val="tx1"/>
                </a:solidFill>
              </a:rPr>
              <a:t>Execution Status by Functional Area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4"/>
          <c:order val="0"/>
          <c:tx>
            <c:strRef>
              <c:f>TestCoverage!$F$1</c:f>
              <c:strCache>
                <c:ptCount val="1"/>
                <c:pt idx="0">
                  <c:v>Pass %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TestCoverage!$A$2:$A$9</c:f>
              <c:strCache>
                <c:ptCount val="8"/>
                <c:pt idx="0">
                  <c:v>Validations &amp; Business Rules</c:v>
                </c:pt>
                <c:pt idx="1">
                  <c:v>RAI Management</c:v>
                </c:pt>
                <c:pt idx="2">
                  <c:v>SRT Review Workflow</c:v>
                </c:pt>
                <c:pt idx="3">
                  <c:v>Workflow &amp; Status Transitions</c:v>
                </c:pt>
                <c:pt idx="4">
                  <c:v>Record Lifecycle Management</c:v>
                </c:pt>
                <c:pt idx="5">
                  <c:v>User Access &amp; Permissions</c:v>
                </c:pt>
                <c:pt idx="6">
                  <c:v>Assignment &amp; Routing</c:v>
                </c:pt>
                <c:pt idx="7">
                  <c:v>Timeline &amp; SLA Management</c:v>
                </c:pt>
              </c:strCache>
            </c:strRef>
          </c:cat>
          <c:val>
            <c:numRef>
              <c:f>TestCoverage!$F$2:$F$9</c:f>
              <c:numCache>
                <c:formatCode>0%</c:formatCode>
                <c:ptCount val="8"/>
                <c:pt idx="0">
                  <c:v>0.90476190476190477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6E-45FE-8991-B3D9A8DE49D8}"/>
            </c:ext>
          </c:extLst>
        </c:ser>
        <c:ser>
          <c:idx val="5"/>
          <c:order val="1"/>
          <c:tx>
            <c:strRef>
              <c:f>TestCoverage!$G$1</c:f>
              <c:strCache>
                <c:ptCount val="1"/>
                <c:pt idx="0">
                  <c:v>Fail %</c:v>
                </c:pt>
              </c:strCache>
            </c:strRef>
          </c:tx>
          <c:spPr>
            <a:solidFill>
              <a:srgbClr val="FF5050"/>
            </a:solidFill>
            <a:ln>
              <a:noFill/>
            </a:ln>
            <a:effectLst/>
          </c:spPr>
          <c:invertIfNegative val="0"/>
          <c:dLbls>
            <c:numFmt formatCode="0%;\-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TestCoverage!$A$2:$A$9</c:f>
              <c:strCache>
                <c:ptCount val="8"/>
                <c:pt idx="0">
                  <c:v>Validations &amp; Business Rules</c:v>
                </c:pt>
                <c:pt idx="1">
                  <c:v>RAI Management</c:v>
                </c:pt>
                <c:pt idx="2">
                  <c:v>SRT Review Workflow</c:v>
                </c:pt>
                <c:pt idx="3">
                  <c:v>Workflow &amp; Status Transitions</c:v>
                </c:pt>
                <c:pt idx="4">
                  <c:v>Record Lifecycle Management</c:v>
                </c:pt>
                <c:pt idx="5">
                  <c:v>User Access &amp; Permissions</c:v>
                </c:pt>
                <c:pt idx="6">
                  <c:v>Assignment &amp; Routing</c:v>
                </c:pt>
                <c:pt idx="7">
                  <c:v>Timeline &amp; SLA Management</c:v>
                </c:pt>
              </c:strCache>
            </c:strRef>
          </c:cat>
          <c:val>
            <c:numRef>
              <c:f>TestCoverage!$G$2:$G$9</c:f>
              <c:numCache>
                <c:formatCode>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6E-45FE-8991-B3D9A8DE49D8}"/>
            </c:ext>
          </c:extLst>
        </c:ser>
        <c:ser>
          <c:idx val="6"/>
          <c:order val="2"/>
          <c:tx>
            <c:strRef>
              <c:f>TestCoverage!$H$1</c:f>
              <c:strCache>
                <c:ptCount val="1"/>
                <c:pt idx="0">
                  <c:v>Blocked %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numFmt formatCode="0%;\-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TestCoverage!$A$2:$A$9</c:f>
              <c:strCache>
                <c:ptCount val="8"/>
                <c:pt idx="0">
                  <c:v>Validations &amp; Business Rules</c:v>
                </c:pt>
                <c:pt idx="1">
                  <c:v>RAI Management</c:v>
                </c:pt>
                <c:pt idx="2">
                  <c:v>SRT Review Workflow</c:v>
                </c:pt>
                <c:pt idx="3">
                  <c:v>Workflow &amp; Status Transitions</c:v>
                </c:pt>
                <c:pt idx="4">
                  <c:v>Record Lifecycle Management</c:v>
                </c:pt>
                <c:pt idx="5">
                  <c:v>User Access &amp; Permissions</c:v>
                </c:pt>
                <c:pt idx="6">
                  <c:v>Assignment &amp; Routing</c:v>
                </c:pt>
                <c:pt idx="7">
                  <c:v>Timeline &amp; SLA Management</c:v>
                </c:pt>
              </c:strCache>
            </c:strRef>
          </c:cat>
          <c:val>
            <c:numRef>
              <c:f>TestCoverage!$H$2:$H$9</c:f>
              <c:numCache>
                <c:formatCode>0%</c:formatCode>
                <c:ptCount val="8"/>
                <c:pt idx="0">
                  <c:v>9.5238095238095233E-2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B6E-45FE-8991-B3D9A8DE49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4676704"/>
        <c:axId val="974680544"/>
      </c:barChart>
      <c:catAx>
        <c:axId val="9746767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4680544"/>
        <c:crosses val="autoZero"/>
        <c:auto val="1"/>
        <c:lblAlgn val="ctr"/>
        <c:lblOffset val="100"/>
        <c:noMultiLvlLbl val="0"/>
      </c:catAx>
      <c:valAx>
        <c:axId val="974680544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4676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no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726281</xdr:colOff>
      <xdr:row>7</xdr:row>
      <xdr:rowOff>148828</xdr:rowOff>
    </xdr:from>
    <xdr:to>
      <xdr:col>11</xdr:col>
      <xdr:colOff>246289</xdr:colOff>
      <xdr:row>24</xdr:row>
      <xdr:rowOff>186929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E2772C7-455B-4AB9-9F57-817449EC11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27542-4B70-47E8-B3EC-391C17B60C17}">
  <dimension ref="A1:H42"/>
  <sheetViews>
    <sheetView tabSelected="1" zoomScale="175" zoomScaleNormal="175" workbookViewId="0">
      <selection activeCell="A2" sqref="A2:A9"/>
    </sheetView>
  </sheetViews>
  <sheetFormatPr defaultRowHeight="15" x14ac:dyDescent="0.25"/>
  <cols>
    <col min="1" max="1" customWidth="true" width="31.85546875"/>
    <col min="2" max="2" customWidth="true" width="22.42578125"/>
    <col min="3" max="3" customWidth="true" width="8.5703125"/>
    <col min="4" max="4" customWidth="true" width="5.85546875"/>
    <col min="5" max="5" customWidth="true" width="8.0"/>
    <col min="6" max="6" customWidth="true" width="6.85546875"/>
    <col min="7" max="7" customWidth="true" width="6.28515625"/>
    <col min="8" max="8" customWidth="true" width="10.140625"/>
  </cols>
  <sheetData>
    <row r="1" spans="1:8" x14ac:dyDescent="0.25">
      <c r="A1" s="12" t="s">
        <v>0</v>
      </c>
      <c r="B1" s="12" t="s">
        <v>14</v>
      </c>
      <c r="C1" s="12" t="s">
        <v>1</v>
      </c>
      <c r="D1" s="12" t="s">
        <v>2</v>
      </c>
      <c r="E1" s="12" t="s">
        <v>3</v>
      </c>
      <c r="F1" s="12" t="s">
        <v>4</v>
      </c>
      <c r="G1" s="12" t="s">
        <v>5</v>
      </c>
      <c r="H1" s="12" t="s">
        <v>6</v>
      </c>
    </row>
    <row r="2" spans="1:8" x14ac:dyDescent="0.25">
      <c r="A2" s="19" t="s">
        <v>16</v>
      </c>
      <c r="B2" s="9">
        <v>21</v>
      </c>
      <c r="C2" s="9">
        <v>19</v>
      </c>
      <c r="D2" s="9">
        <v>0</v>
      </c>
      <c r="E2" s="9">
        <v>2</v>
      </c>
      <c r="F2" s="2" t="n">
        <f>IFERROR(C2/B2,0)</f>
        <v>0.9047619047619048</v>
      </c>
      <c r="G2" s="2" t="n">
        <f>IFERROR(D2/B2,0)</f>
        <v>0.0</v>
      </c>
      <c r="H2" s="3" t="n">
        <f>IFERROR(E2/B2,0)</f>
        <v>0.09523809523809523</v>
      </c>
    </row>
    <row r="3" spans="1:8" x14ac:dyDescent="0.25">
      <c r="A3" s="19" t="s">
        <v>17</v>
      </c>
      <c r="B3" s="9" t="n">
        <v>4.0</v>
      </c>
      <c r="C3" s="9" t="n">
        <v>4.0</v>
      </c>
      <c r="D3" s="9" t="n">
        <v>0.0</v>
      </c>
      <c r="E3" s="9" t="n">
        <v>0.0</v>
      </c>
      <c r="F3" s="2" t="n">
        <f t="shared" ref="F3:F10" si="0">IFERROR(C3/B3,0)</f>
        <v>1.0</v>
      </c>
      <c r="G3" s="2" t="n">
        <f t="shared" ref="G3:G10" si="1">IFERROR(D3/B3,0)</f>
        <v>0.0</v>
      </c>
      <c r="H3" s="3" t="n">
        <f t="shared" ref="H3:H10" si="2">IFERROR(E3/B3,0)</f>
        <v>0.0</v>
      </c>
    </row>
    <row r="4" spans="1:8" x14ac:dyDescent="0.25">
      <c r="A4" s="19" t="s">
        <v>18</v>
      </c>
      <c r="B4" s="9" t="n">
        <v>4.0</v>
      </c>
      <c r="C4" s="9" t="n">
        <v>4.0</v>
      </c>
      <c r="D4" s="9" t="n">
        <v>0.0</v>
      </c>
      <c r="E4" s="9" t="n">
        <v>0.0</v>
      </c>
      <c r="F4" s="2" t="n">
        <f t="shared" si="0"/>
        <v>1.0</v>
      </c>
      <c r="G4" s="2" t="n">
        <f t="shared" si="1"/>
        <v>0.0</v>
      </c>
      <c r="H4" s="3" t="n">
        <f t="shared" si="2"/>
        <v>0.0</v>
      </c>
    </row>
    <row r="5" spans="1:8" x14ac:dyDescent="0.25">
      <c r="A5" s="19" t="s">
        <v>19</v>
      </c>
      <c r="B5" s="9">
        <v>3</v>
      </c>
      <c r="C5" s="9">
        <v>3</v>
      </c>
      <c r="D5" s="9">
        <v>0</v>
      </c>
      <c r="E5" s="9">
        <v>0</v>
      </c>
      <c r="F5" s="2" t="n">
        <f t="shared" si="0"/>
        <v>1.0</v>
      </c>
      <c r="G5" s="2" t="n">
        <f t="shared" si="1"/>
        <v>0.0</v>
      </c>
      <c r="H5" s="3" t="n">
        <f t="shared" si="2"/>
        <v>0.0</v>
      </c>
    </row>
    <row r="6" spans="1:8" x14ac:dyDescent="0.25">
      <c r="A6" s="19" t="s">
        <v>20</v>
      </c>
      <c r="B6" s="9">
        <v>6</v>
      </c>
      <c r="C6" s="10">
        <v>6</v>
      </c>
      <c r="D6" s="10">
        <v>0</v>
      </c>
      <c r="E6" s="10">
        <v>0</v>
      </c>
      <c r="F6" s="5" t="n">
        <f t="shared" si="0"/>
        <v>1.0</v>
      </c>
      <c r="G6" s="5" t="n">
        <f t="shared" si="1"/>
        <v>0.0</v>
      </c>
      <c r="H6" s="6" t="n">
        <f t="shared" si="2"/>
        <v>0.0</v>
      </c>
    </row>
    <row r="7" spans="1:8" x14ac:dyDescent="0.25">
      <c r="A7" s="19" t="s">
        <v>15</v>
      </c>
      <c r="B7" s="9">
        <v>3</v>
      </c>
      <c r="C7" s="10">
        <v>3</v>
      </c>
      <c r="D7" s="10">
        <v>0</v>
      </c>
      <c r="E7" s="10">
        <v>0</v>
      </c>
      <c r="F7" s="5" t="n">
        <f t="shared" si="0"/>
        <v>1.0</v>
      </c>
      <c r="G7" s="5" t="n">
        <f t="shared" si="1"/>
        <v>0.0</v>
      </c>
      <c r="H7" s="6" t="n">
        <f t="shared" si="2"/>
        <v>0.0</v>
      </c>
    </row>
    <row r="8" spans="1:8" x14ac:dyDescent="0.25">
      <c r="A8" s="19" t="s">
        <v>21</v>
      </c>
      <c r="B8" s="9" t="n">
        <v>3.0</v>
      </c>
      <c r="C8" s="10" t="n">
        <v>3.0</v>
      </c>
      <c r="D8" s="10" t="n">
        <v>0.0</v>
      </c>
      <c r="E8" s="10" t="n">
        <v>0.0</v>
      </c>
      <c r="F8" s="5" t="n">
        <f t="shared" si="0"/>
        <v>1.0</v>
      </c>
      <c r="G8" s="5" t="n">
        <f t="shared" si="1"/>
        <v>0.0</v>
      </c>
      <c r="H8" s="6" t="n">
        <f t="shared" si="2"/>
        <v>0.0</v>
      </c>
    </row>
    <row r="9" spans="1:8" ht="15.75" thickBot="1" x14ac:dyDescent="0.3">
      <c r="A9" s="19" t="s">
        <v>22</v>
      </c>
      <c r="B9" s="9" t="n">
        <v>4.0</v>
      </c>
      <c r="C9" s="10" t="n">
        <v>4.0</v>
      </c>
      <c r="D9" s="10" t="n">
        <v>0.0</v>
      </c>
      <c r="E9" s="10" t="n">
        <v>0.0</v>
      </c>
      <c r="F9" s="5" t="n">
        <f t="shared" si="0"/>
        <v>1.0</v>
      </c>
      <c r="G9" s="5" t="n">
        <f t="shared" si="1"/>
        <v>0.0</v>
      </c>
      <c r="H9" s="6" t="n">
        <f t="shared" si="2"/>
        <v>0.0</v>
      </c>
    </row>
    <row r="10" spans="1:8" s="1" customFormat="1" ht="15.75" thickBot="1" x14ac:dyDescent="0.3">
      <c r="A10" s="18" t="s">
        <v>7</v>
      </c>
      <c r="B10" s="11" t="n">
        <f>SUM(B2:B9)</f>
        <v>48.0</v>
      </c>
      <c r="C10" s="11" t="n">
        <f>SUM(C2:C9)</f>
        <v>46.0</v>
      </c>
      <c r="D10" s="11" t="n">
        <f>SUM(D2:D9)</f>
        <v>0.0</v>
      </c>
      <c r="E10" s="11" t="n">
        <f>SUM(E2:E9)</f>
        <v>2.0</v>
      </c>
      <c r="F10" s="7" t="n">
        <f t="shared" si="0"/>
        <v>0.9583333333333334</v>
      </c>
      <c r="G10" s="7" t="n">
        <f t="shared" si="1"/>
        <v>0.0</v>
      </c>
      <c r="H10" s="8" t="n">
        <f t="shared" si="2"/>
        <v>0.041666666666666664</v>
      </c>
    </row>
    <row r="35" spans="2:2" ht="28.5" x14ac:dyDescent="0.25">
      <c r="B35" s="17" t="s">
        <v>16</v>
      </c>
    </row>
    <row r="36" spans="2:2" x14ac:dyDescent="0.25">
      <c r="B36" s="17" t="s">
        <v>17</v>
      </c>
    </row>
    <row r="37" spans="2:2" x14ac:dyDescent="0.25">
      <c r="B37" s="17" t="s">
        <v>18</v>
      </c>
    </row>
    <row r="38" spans="2:2" ht="28.5" x14ac:dyDescent="0.25">
      <c r="B38" s="17" t="s">
        <v>19</v>
      </c>
    </row>
    <row r="39" spans="2:2" ht="28.5" x14ac:dyDescent="0.25">
      <c r="B39" s="17" t="s">
        <v>20</v>
      </c>
    </row>
    <row r="40" spans="2:2" ht="28.5" x14ac:dyDescent="0.25">
      <c r="B40" s="17" t="s">
        <v>15</v>
      </c>
    </row>
    <row r="41" spans="2:2" x14ac:dyDescent="0.25">
      <c r="B41" s="17" t="s">
        <v>21</v>
      </c>
    </row>
    <row r="42" spans="2:2" ht="28.5" x14ac:dyDescent="0.25">
      <c r="B42" s="17" t="s">
        <v>22</v>
      </c>
    </row>
  </sheetData>
  <phoneticPr fontId="1" type="noConversion"/>
  <conditionalFormatting sqref="A11">
    <cfRule type="cellIs" dxfId="1" priority="6" operator="between">
      <formula>0.5</formula>
      <formula>0.79</formula>
    </cfRule>
    <cfRule type="cellIs" dxfId="0" priority="7" operator="greaterThanOrEqual">
      <formula>0.8</formula>
    </cfRule>
  </conditionalFormatting>
  <conditionalFormatting sqref="F2:F10">
    <cfRule type="colorScale" priority="3">
      <colorScale>
        <cfvo type="num" val="0"/>
        <cfvo type="num" val="0.5"/>
        <cfvo type="num" val="1"/>
        <color rgb="FFFF5050"/>
        <color rgb="FFFFFF00"/>
        <color theme="9" tint="0.59999389629810485"/>
      </colorScale>
    </cfRule>
  </conditionalFormatting>
  <conditionalFormatting sqref="G2:G10">
    <cfRule type="colorScale" priority="2">
      <colorScale>
        <cfvo type="num" val="0"/>
        <cfvo type="num" val="0.5"/>
        <cfvo type="num" val="1"/>
        <color theme="9" tint="0.59999389629810485"/>
        <color rgb="FFFFFF00"/>
        <color rgb="FFFF5050"/>
      </colorScale>
    </cfRule>
  </conditionalFormatting>
  <conditionalFormatting sqref="H2:H10">
    <cfRule type="colorScale" priority="1">
      <colorScale>
        <cfvo type="num" val="0"/>
        <cfvo type="num" val="0.5"/>
        <cfvo type="num" val="1"/>
        <color theme="9" tint="0.59999389629810485"/>
        <color rgb="FFFFFF00"/>
        <color rgb="FFFF5050"/>
      </colorScale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33FBF-1B6F-4496-80CB-20AA79BD08C8}">
  <dimension ref="A1:L7"/>
  <sheetViews>
    <sheetView showGridLines="0" zoomScale="160" zoomScaleNormal="160" workbookViewId="0">
      <selection activeCell="E29" sqref="E29"/>
    </sheetView>
  </sheetViews>
  <sheetFormatPr defaultRowHeight="15" x14ac:dyDescent="0.25"/>
  <cols>
    <col min="1" max="1" customWidth="true" width="14.7109375"/>
    <col min="2" max="2" customWidth="true" width="23.5703125"/>
    <col min="5" max="5" customWidth="true" width="14.42578125"/>
    <col min="6" max="6" customWidth="true" width="16.140625"/>
    <col min="7" max="7" customWidth="true" width="15.140625"/>
    <col min="8" max="8" customWidth="true" width="10.5703125"/>
  </cols>
  <sheetData>
    <row r="1" spans="1:12" ht="31.5" x14ac:dyDescent="0.5">
      <c r="A1" s="20" t="s">
        <v>13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</row>
    <row r="3" spans="1:12" x14ac:dyDescent="0.25">
      <c r="A3" s="4"/>
      <c r="B3" s="4"/>
      <c r="C3" s="4"/>
      <c r="E3" s="16" t="s">
        <v>8</v>
      </c>
      <c r="F3" s="13" t="n">
        <f>TestCoverage!B10</f>
        <v>48.0</v>
      </c>
    </row>
    <row r="4" spans="1:12" ht="16.5" x14ac:dyDescent="0.3">
      <c r="A4" s="4"/>
      <c r="B4" s="4"/>
      <c r="C4" s="4"/>
      <c r="E4" s="15" t="s">
        <v>9</v>
      </c>
      <c r="F4" s="13" t="n">
        <f>TestCoverage!C10</f>
        <v>46.0</v>
      </c>
    </row>
    <row r="5" spans="1:12" ht="16.5" x14ac:dyDescent="0.3">
      <c r="A5" s="4"/>
      <c r="B5" s="4"/>
      <c r="C5" s="4"/>
      <c r="E5" s="15" t="s">
        <v>10</v>
      </c>
      <c r="F5" s="13" t="n">
        <f>TestCoverage!D10</f>
        <v>0.0</v>
      </c>
    </row>
    <row r="6" spans="1:12" ht="16.5" x14ac:dyDescent="0.3">
      <c r="A6" s="4"/>
      <c r="B6" s="4"/>
      <c r="C6" s="4"/>
      <c r="E6" s="15" t="s">
        <v>11</v>
      </c>
      <c r="F6" s="13" t="n">
        <f>TestCoverage!E10</f>
        <v>2.0</v>
      </c>
    </row>
    <row r="7" spans="1:12" ht="16.5" x14ac:dyDescent="0.3">
      <c r="E7" s="15" t="s">
        <v>12</v>
      </c>
      <c r="F7" s="14" t="n">
        <f>TestCoverage!C10/TestCoverage!B10</f>
        <v>0.9583333333333334</v>
      </c>
    </row>
  </sheetData>
  <mergeCells count="1">
    <mergeCell ref="A1:L1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TestCoverage</vt:lpstr>
      <vt:lpstr>Dashboard</vt:lpstr>
    </vt:vector>
  </TitlesOfParts>
  <Company>ICF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2026-02-20T17:13:13Z</dcterms:created>
  <dc:creator>Ammar, Amjad</dc:creator>
  <cp:lastModifiedBy>Ammar, Amjad</cp:lastModifiedBy>
  <dcterms:modified xsi:type="dcterms:W3CDTF">2026-02-25T21:25:35Z</dcterms:modified>
</cp:coreProperties>
</file>