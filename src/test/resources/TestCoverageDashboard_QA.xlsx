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57901\smart-test-automation\src\test\resources\"/>
    </mc:Choice>
  </mc:AlternateContent>
  <xr:revisionPtr revIDLastSave="0" documentId="13_ncr:1_{30B209B6-2682-437E-A1E2-4FF04A0C24EF}" xr6:coauthVersionLast="47" xr6:coauthVersionMax="47" xr10:uidLastSave="{00000000-0000-0000-0000-000000000000}"/>
  <bookViews>
    <workbookView xWindow="-120" yWindow="-120" windowWidth="29040" windowHeight="15720" activeTab="1" xr2:uid="{79FC711E-34A0-4D45-A805-C86E1CFB22CF}"/>
  </bookViews>
  <sheets>
    <sheet name="TestCoverage" sheetId="1" r:id="rId1"/>
    <sheet name="Dashboard" sheetId="2" r:id="rId2"/>
    <sheet name="Dashboard_Data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1" l="1"/>
  <c r="G8" i="1"/>
  <c r="H8" i="1"/>
  <c r="D8" i="3" s="1"/>
  <c r="D10" i="3"/>
  <c r="F9" i="3"/>
  <c r="D9" i="3"/>
  <c r="C9" i="3"/>
  <c r="E10" i="3" s="1"/>
  <c r="B9" i="3"/>
  <c r="A9" i="3"/>
  <c r="F2" i="2"/>
  <c r="A2" i="3"/>
  <c r="F2" i="3"/>
  <c r="A5" i="3"/>
  <c r="F5" i="3"/>
  <c r="F3" i="3"/>
  <c r="A3" i="3"/>
  <c r="E12" i="1"/>
  <c r="F6" i="2" s="1"/>
  <c r="F6" i="3"/>
  <c r="F7" i="3"/>
  <c r="F8" i="3"/>
  <c r="F10" i="3"/>
  <c r="F4" i="3"/>
  <c r="A6" i="3"/>
  <c r="A7" i="3"/>
  <c r="A8" i="3"/>
  <c r="A10" i="3"/>
  <c r="A4" i="3"/>
  <c r="H7" i="1"/>
  <c r="D7" i="3" s="1"/>
  <c r="C10" i="3"/>
  <c r="C8" i="3"/>
  <c r="G7" i="1"/>
  <c r="C7" i="3" s="1"/>
  <c r="B10" i="3"/>
  <c r="B8" i="3"/>
  <c r="F7" i="1"/>
  <c r="B7" i="3" s="1"/>
  <c r="F3" i="1"/>
  <c r="B2" i="3" s="1"/>
  <c r="D5" i="3"/>
  <c r="D12" i="1"/>
  <c r="F5" i="2" s="1"/>
  <c r="H6" i="1"/>
  <c r="D6" i="3" s="1"/>
  <c r="H11" i="1"/>
  <c r="D4" i="3" s="1"/>
  <c r="H3" i="1"/>
  <c r="D2" i="3" s="1"/>
  <c r="C5" i="3"/>
  <c r="C12" i="1"/>
  <c r="F4" i="2" s="1"/>
  <c r="G6" i="1"/>
  <c r="C6" i="3" s="1"/>
  <c r="G11" i="1"/>
  <c r="C4" i="3" s="1"/>
  <c r="G3" i="1"/>
  <c r="C2" i="3" s="1"/>
  <c r="B5" i="3"/>
  <c r="B12" i="1"/>
  <c r="F3" i="2" s="1"/>
  <c r="F6" i="1"/>
  <c r="B6" i="3" s="1"/>
  <c r="F11" i="1"/>
  <c r="B4" i="3" s="1"/>
  <c r="E7" i="3" l="1"/>
  <c r="E9" i="3"/>
  <c r="E8" i="3"/>
  <c r="E2" i="3"/>
  <c r="C3" i="3"/>
  <c r="E4" i="3"/>
  <c r="E6" i="3"/>
  <c r="E5" i="3"/>
  <c r="B3" i="3"/>
  <c r="D3" i="3"/>
  <c r="E3" i="3" s="1"/>
  <c r="F11" i="3"/>
  <c r="A11" i="3"/>
  <c r="G12" i="1"/>
  <c r="C11" i="3" s="1"/>
  <c r="F12" i="1"/>
  <c r="B11" i="3" s="1"/>
  <c r="H12" i="1"/>
  <c r="D11" i="3" s="1"/>
  <c r="F7" i="2"/>
</calcChain>
</file>

<file path=xl/sharedStrings.xml><?xml version="1.0" encoding="utf-8"?>
<sst xmlns="http://schemas.openxmlformats.org/spreadsheetml/2006/main" count="32" uniqueCount="29">
  <si>
    <t>Functional Area</t>
  </si>
  <si>
    <t>Passed</t>
  </si>
  <si>
    <t>Failed</t>
  </si>
  <si>
    <t>Blocked</t>
  </si>
  <si>
    <t>Pass %</t>
  </si>
  <si>
    <t>Fail %</t>
  </si>
  <si>
    <t>Blocked %</t>
  </si>
  <si>
    <t>TOTAL</t>
  </si>
  <si>
    <t xml:space="preserve">Total Scripts: </t>
  </si>
  <si>
    <t xml:space="preserve">Total Passed:   </t>
  </si>
  <si>
    <t xml:space="preserve">Total Failed:  </t>
  </si>
  <si>
    <t xml:space="preserve">Total Blocked:  </t>
  </si>
  <si>
    <t xml:space="preserve">Overall Pass %:  </t>
  </si>
  <si>
    <t>Total Automated Tests</t>
  </si>
  <si>
    <t>User Access &amp; Permissions</t>
  </si>
  <si>
    <t>Validations &amp; Business Rules</t>
  </si>
  <si>
    <t>RAI Management</t>
  </si>
  <si>
    <t>SRT Review Workflow</t>
  </si>
  <si>
    <t>Workflow &amp; Status Transitions</t>
  </si>
  <si>
    <t>Record Lifecycle Management</t>
  </si>
  <si>
    <t>Assignment &amp; Routing</t>
  </si>
  <si>
    <t>Timeline &amp; SLA Management</t>
  </si>
  <si>
    <t>Automation Execution Coverage - OneMAC SMART</t>
  </si>
  <si>
    <t>Chart Label</t>
  </si>
  <si>
    <t>Total Tests</t>
  </si>
  <si>
    <t>Risk</t>
  </si>
  <si>
    <t>API End To End</t>
  </si>
  <si>
    <t>Execution Date:</t>
  </si>
  <si>
    <t>Execution Date &amp; Time: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</si>
</sst>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yy"/>
    <numFmt numFmtId="165" formatCode="m/d/yyyy\ h:mm:ss\ AM/PM"/>
  </numFmts>
  <fonts count="11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1F2937"/>
      <name val="Segoe UI"/>
      <family val="2"/>
    </font>
    <font>
      <b/>
      <sz val="11"/>
      <color theme="1"/>
      <name val="Segoe UI"/>
      <family val="2"/>
    </font>
    <font>
      <sz val="11"/>
      <color theme="1"/>
      <name val="Segoe UI"/>
      <family val="2"/>
    </font>
    <font>
      <b/>
      <sz val="24"/>
      <color theme="1"/>
      <name val="Segoe UI"/>
      <family val="2"/>
    </font>
    <font>
      <sz val="11"/>
      <color rgb="FF1F4E79"/>
      <name val="Segoe UI"/>
      <family val="2"/>
    </font>
    <font>
      <b/>
      <sz val="11"/>
      <color rgb="FFFFFFFF"/>
      <name val="Segoe UI"/>
      <family val="2"/>
    </font>
    <font>
      <b/>
      <sz val="10"/>
      <color rgb="FF1F4E79"/>
      <name val="Segoe UI"/>
      <family val="2"/>
    </font>
    <font>
      <sz val="10"/>
      <color rgb="FF1F4E79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7F7F7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0" borderId="0" xfId="0" applyFont="1"/>
    <xf numFmtId="0" fontId="0" fillId="0" borderId="0" xfId="0" applyAlignment="1">
      <alignment vertical="center" wrapText="1"/>
    </xf>
    <xf numFmtId="9" fontId="0" fillId="0" borderId="0" xfId="0" applyNumberFormat="1"/>
    <xf numFmtId="164" fontId="0" fillId="0" borderId="0" xfId="0" applyNumberFormat="1"/>
    <xf numFmtId="9" fontId="4" fillId="2" borderId="1" xfId="0" applyNumberFormat="1" applyFont="1" applyFill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vertical="top" wrapText="1"/>
    </xf>
    <xf numFmtId="0" fontId="4" fillId="2" borderId="1" xfId="0" applyFont="1" applyFill="1" applyBorder="1"/>
    <xf numFmtId="0" fontId="5" fillId="2" borderId="1" xfId="0" applyFont="1" applyFill="1" applyBorder="1"/>
    <xf numFmtId="165" fontId="5" fillId="3" borderId="1" xfId="0" applyNumberFormat="1" applyFont="1" applyFill="1" applyBorder="1"/>
    <xf numFmtId="165" fontId="7" fillId="4" borderId="0" xfId="0" applyNumberFormat="1" applyFont="1" applyFill="1"/>
    <xf numFmtId="0" fontId="3" fillId="6" borderId="1" xfId="0" applyFont="1" applyFill="1" applyBorder="1" applyAlignment="1">
      <alignment horizontal="left" vertical="center" wrapText="1"/>
    </xf>
    <xf numFmtId="9" fontId="5" fillId="6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 wrapText="1"/>
    </xf>
    <xf numFmtId="9" fontId="5" fillId="7" borderId="1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vertical="center"/>
    </xf>
    <xf numFmtId="0" fontId="5" fillId="6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165" fontId="0" fillId="0" borderId="0" xfId="0" applyNumberFormat="1"/>
    <xf numFmtId="165" fontId="10" fillId="4" borderId="0" xfId="0" applyNumberFormat="1" applyFont="1" applyFill="1" applyAlignment="1">
      <alignment horizontal="center" vertical="center"/>
    </xf>
    <xf numFmtId="165" fontId="7" fillId="4" borderId="0" xfId="0" applyNumberFormat="1" applyFont="1" applyFill="1" applyAlignment="1">
      <alignment horizontal="center"/>
    </xf>
    <xf numFmtId="0" fontId="6" fillId="0" borderId="0" xfId="0" applyFont="1" applyAlignment="1">
      <alignment horizontal="center"/>
    </xf>
    <xf numFmtId="0" fontId="5" fillId="2" borderId="1" xfId="0" applyFont="1" applyFill="1" applyBorder="1" applyAlignment="1">
      <alignment horizontal="center"/>
    </xf>
    <xf numFmtId="9" fontId="5" fillId="2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FF"/>
      <color rgb="FFF7F7F7"/>
      <color rgb="FF4F81BD"/>
      <color rgb="FF1F4E79"/>
      <color rgb="FFDCE6F1"/>
      <color rgb="FFFFFFCC"/>
      <color rgb="FFFF694B"/>
      <color rgb="FFFF9D89"/>
      <color rgb="FFFF5C3B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Execution Status by Functional Area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4"/>
          <c:order val="0"/>
          <c:tx>
            <c:strRef>
              <c:f>Dashboard_Data!$B$1</c:f>
              <c:strCache>
                <c:ptCount val="1"/>
                <c:pt idx="0">
                  <c:v>Pass %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  <a:alpha val="98000"/>
              </a:schemeClr>
            </a:solidFill>
            <a:ln>
              <a:noFill/>
            </a:ln>
            <a:effectLst/>
          </c:spPr>
          <c:invertIfNegative val="0"/>
          <c:dLbls>
            <c:numFmt formatCode="[&lt;1]0%;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Dashboard_Data!$A$2:$A$10</c:f>
              <c:strCache>
                <c:ptCount val="9"/>
                <c:pt idx="0">
                  <c:v>Validations &amp; Business Rules (33)</c:v>
                </c:pt>
                <c:pt idx="1">
                  <c:v>SRT Review Workflow ()</c:v>
                </c:pt>
                <c:pt idx="2">
                  <c:v>Timeline &amp; SLA Management (10)</c:v>
                </c:pt>
                <c:pt idx="3">
                  <c:v>RAI Management ()</c:v>
                </c:pt>
                <c:pt idx="4">
                  <c:v>Workflow &amp; Status Transitions (3)</c:v>
                </c:pt>
                <c:pt idx="5">
                  <c:v>Record Lifecycle Management (11)</c:v>
                </c:pt>
                <c:pt idx="6">
                  <c:v>User Access &amp; Permissions (1)</c:v>
                </c:pt>
                <c:pt idx="7">
                  <c:v>API End To End ()</c:v>
                </c:pt>
                <c:pt idx="8">
                  <c:v>Assignment &amp; Routing ()</c:v>
                </c:pt>
              </c:strCache>
            </c:strRef>
          </c:cat>
          <c:val>
            <c:numRef>
              <c:f>Dashboard_Data!$B$2:$B$10</c:f>
              <c:numCache>
                <c:formatCode>0%</c:formatCode>
                <c:ptCount val="9"/>
                <c:pt idx="0">
                  <c:v>0.93939393939393945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6E-45FE-8991-B3D9A8DE49D8}"/>
            </c:ext>
          </c:extLst>
        </c:ser>
        <c:ser>
          <c:idx val="5"/>
          <c:order val="1"/>
          <c:tx>
            <c:strRef>
              <c:f>Dashboard_Data!$C$1</c:f>
              <c:strCache>
                <c:ptCount val="1"/>
                <c:pt idx="0">
                  <c:v>Fail %</c:v>
                </c:pt>
              </c:strCache>
            </c:strRef>
          </c:tx>
          <c:spPr>
            <a:solidFill>
              <a:srgbClr val="FF694B"/>
            </a:solidFill>
            <a:ln>
              <a:noFill/>
            </a:ln>
            <a:effectLst/>
          </c:spPr>
          <c:invertIfNegative val="0"/>
          <c:dLbls>
            <c:numFmt formatCode="[&gt;0]0%;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Dashboard_Data!$A$2:$A$10</c:f>
              <c:strCache>
                <c:ptCount val="9"/>
                <c:pt idx="0">
                  <c:v>Validations &amp; Business Rules (33)</c:v>
                </c:pt>
                <c:pt idx="1">
                  <c:v>SRT Review Workflow ()</c:v>
                </c:pt>
                <c:pt idx="2">
                  <c:v>Timeline &amp; SLA Management (10)</c:v>
                </c:pt>
                <c:pt idx="3">
                  <c:v>RAI Management ()</c:v>
                </c:pt>
                <c:pt idx="4">
                  <c:v>Workflow &amp; Status Transitions (3)</c:v>
                </c:pt>
                <c:pt idx="5">
                  <c:v>Record Lifecycle Management (11)</c:v>
                </c:pt>
                <c:pt idx="6">
                  <c:v>User Access &amp; Permissions (1)</c:v>
                </c:pt>
                <c:pt idx="7">
                  <c:v>API End To End ()</c:v>
                </c:pt>
                <c:pt idx="8">
                  <c:v>Assignment &amp; Routing ()</c:v>
                </c:pt>
              </c:strCache>
            </c:strRef>
          </c:cat>
          <c:val>
            <c:numRef>
              <c:f>Dashboard_Data!$C$2:$C$10</c:f>
              <c:numCache>
                <c:formatCode>0%</c:formatCode>
                <c:ptCount val="9"/>
                <c:pt idx="0">
                  <c:v>6.0606060606060608E-2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6E-45FE-8991-B3D9A8DE49D8}"/>
            </c:ext>
          </c:extLst>
        </c:ser>
        <c:ser>
          <c:idx val="6"/>
          <c:order val="2"/>
          <c:tx>
            <c:strRef>
              <c:f>Dashboard_Data!$D$1</c:f>
              <c:strCache>
                <c:ptCount val="1"/>
                <c:pt idx="0">
                  <c:v>Blocked %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numFmt formatCode="[&gt;0]0%;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Dashboard_Data!$A$2:$A$10</c:f>
              <c:strCache>
                <c:ptCount val="9"/>
                <c:pt idx="0">
                  <c:v>Validations &amp; Business Rules (33)</c:v>
                </c:pt>
                <c:pt idx="1">
                  <c:v>SRT Review Workflow ()</c:v>
                </c:pt>
                <c:pt idx="2">
                  <c:v>Timeline &amp; SLA Management (10)</c:v>
                </c:pt>
                <c:pt idx="3">
                  <c:v>RAI Management ()</c:v>
                </c:pt>
                <c:pt idx="4">
                  <c:v>Workflow &amp; Status Transitions (3)</c:v>
                </c:pt>
                <c:pt idx="5">
                  <c:v>Record Lifecycle Management (11)</c:v>
                </c:pt>
                <c:pt idx="6">
                  <c:v>User Access &amp; Permissions (1)</c:v>
                </c:pt>
                <c:pt idx="7">
                  <c:v>API End To End ()</c:v>
                </c:pt>
                <c:pt idx="8">
                  <c:v>Assignment &amp; Routing ()</c:v>
                </c:pt>
              </c:strCache>
            </c:strRef>
          </c:cat>
          <c:val>
            <c:numRef>
              <c:f>Dashboard_Data!$D$2:$D$10</c:f>
              <c:numCache>
                <c:formatCode>0%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6E-45FE-8991-B3D9A8DE49D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86"/>
        <c:overlap val="100"/>
        <c:axId val="974676704"/>
        <c:axId val="974680544"/>
      </c:barChart>
      <c:catAx>
        <c:axId val="97467670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t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" panose="020B0502040204020203" pitchFamily="34" charset="0"/>
                <a:ea typeface="+mn-ea"/>
                <a:cs typeface="+mn-cs"/>
              </a:defRPr>
            </a:pPr>
            <a:endParaRPr lang="en-US"/>
          </a:p>
        </c:txPr>
        <c:crossAx val="974680544"/>
        <c:crosses val="autoZero"/>
        <c:auto val="1"/>
        <c:lblAlgn val="ctr"/>
        <c:lblOffset val="100"/>
        <c:noMultiLvlLbl val="0"/>
      </c:catAx>
      <c:valAx>
        <c:axId val="974680544"/>
        <c:scaling>
          <c:orientation val="minMax"/>
          <c:max val="1"/>
          <c:min val="0"/>
        </c:scaling>
        <c:delete val="0"/>
        <c:axPos val="t"/>
        <c:numFmt formatCode="0%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4676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209000</xdr:colOff>
      <xdr:row>7</xdr:row>
      <xdr:rowOff>144432</xdr:rowOff>
    </xdr:from>
    <xdr:to>
      <xdr:col>12</xdr:col>
      <xdr:colOff>227134</xdr:colOff>
      <xdr:row>29</xdr:row>
      <xdr:rowOff>87924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E2772C7-455B-4AB9-9F57-817449EC11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27542-4B70-47E8-B3EC-391C17B60C17}">
  <dimension ref="A1:I12"/>
  <sheetViews>
    <sheetView showGridLines="0" zoomScale="175" zoomScaleNormal="175" workbookViewId="0">
      <selection activeCell="F11" sqref="F11"/>
    </sheetView>
  </sheetViews>
  <sheetFormatPr defaultRowHeight="15" x14ac:dyDescent="0.25"/>
  <cols>
    <col min="1" max="1" width="31.85546875" customWidth="1"/>
    <col min="2" max="2" width="23.42578125" customWidth="1"/>
    <col min="3" max="3" width="8.5703125" customWidth="1"/>
    <col min="4" max="4" width="25.42578125" customWidth="1"/>
    <col min="5" max="5" width="9" customWidth="1"/>
    <col min="6" max="6" width="6.85546875" customWidth="1"/>
    <col min="7" max="7" width="6.28515625" customWidth="1"/>
    <col min="8" max="8" width="11.28515625" customWidth="1"/>
    <col min="9" max="9" width="24" customWidth="1"/>
  </cols>
  <sheetData>
    <row r="1" spans="1:9" ht="22.5" customHeight="1" x14ac:dyDescent="0.3">
      <c r="A1" s="16" t="s">
        <v>28</v>
      </c>
      <c r="B1" s="11"/>
      <c r="C1" s="21">
        <v>46093.462851273151</v>
      </c>
      <c r="D1" s="22"/>
      <c r="E1" s="23"/>
      <c r="F1" s="23"/>
      <c r="G1" s="23"/>
      <c r="H1" s="23"/>
    </row>
    <row r="2" spans="1:9" ht="16.5" x14ac:dyDescent="0.25">
      <c r="A2" s="20" t="s">
        <v>0</v>
      </c>
      <c r="B2" s="20" t="s">
        <v>13</v>
      </c>
      <c r="C2" s="20" t="s">
        <v>1</v>
      </c>
      <c r="D2" s="20" t="s">
        <v>2</v>
      </c>
      <c r="E2" s="20" t="s">
        <v>3</v>
      </c>
      <c r="F2" s="20" t="s">
        <v>4</v>
      </c>
      <c r="G2" s="20" t="s">
        <v>5</v>
      </c>
      <c r="H2" s="20" t="s">
        <v>6</v>
      </c>
    </row>
    <row r="3" spans="1:9" ht="16.5" x14ac:dyDescent="0.25">
      <c r="A3" s="12" t="s">
        <v>15</v>
      </c>
      <c r="B3" s="17">
        <v>33</v>
      </c>
      <c r="C3" s="17">
        <v>31</v>
      </c>
      <c r="D3" s="17">
        <v>2</v>
      </c>
      <c r="E3" s="17">
        <v>0</v>
      </c>
      <c r="F3" s="13">
        <f>IFERROR(C3/B3,0)</f>
        <v>0.93939393939393945</v>
      </c>
      <c r="G3" s="13">
        <f>IFERROR(D3/B3,0)</f>
        <v>6.0606060606060608E-2</v>
      </c>
      <c r="H3" s="13">
        <f>IFERROR(E3/B3,0)</f>
        <v>0</v>
      </c>
    </row>
    <row r="4" spans="1:9" ht="16.5" x14ac:dyDescent="0.25">
      <c r="A4" s="14" t="s">
        <v>16</v>
      </c>
      <c r="B4" s="18"/>
      <c r="C4" s="18"/>
      <c r="D4" s="18"/>
      <c r="E4" s="18"/>
      <c r="F4" s="15"/>
      <c r="G4" s="15"/>
      <c r="H4" s="15"/>
    </row>
    <row r="5" spans="1:9" ht="16.5" x14ac:dyDescent="0.25">
      <c r="A5" s="12" t="s">
        <v>17</v>
      </c>
      <c r="B5" s="17"/>
      <c r="C5" s="17"/>
      <c r="D5" s="17"/>
      <c r="E5" s="17"/>
      <c r="F5" s="13"/>
      <c r="G5" s="13"/>
      <c r="H5" s="13"/>
    </row>
    <row r="6" spans="1:9" ht="16.5" x14ac:dyDescent="0.25">
      <c r="A6" s="14" t="s">
        <v>18</v>
      </c>
      <c r="B6" s="18">
        <v>3</v>
      </c>
      <c r="C6" s="18">
        <v>3</v>
      </c>
      <c r="D6" s="18">
        <v>0</v>
      </c>
      <c r="E6" s="18">
        <v>0</v>
      </c>
      <c r="F6" s="15">
        <f t="shared" ref="F6:F12" si="0">IFERROR(C6/B6,0)</f>
        <v>1</v>
      </c>
      <c r="G6" s="15">
        <f t="shared" ref="G6:G12" si="1">IFERROR(D6/B6,0)</f>
        <v>0</v>
      </c>
      <c r="H6" s="15">
        <f t="shared" ref="H6:H12" si="2">IFERROR(E6/B6,0)</f>
        <v>0</v>
      </c>
    </row>
    <row r="7" spans="1:9" ht="16.5" x14ac:dyDescent="0.25">
      <c r="A7" s="12" t="s">
        <v>19</v>
      </c>
      <c r="B7" s="17">
        <v>11</v>
      </c>
      <c r="C7" s="17">
        <v>11</v>
      </c>
      <c r="D7" s="17">
        <v>0</v>
      </c>
      <c r="E7" s="17">
        <v>0</v>
      </c>
      <c r="F7" s="13">
        <f t="shared" si="0"/>
        <v>1</v>
      </c>
      <c r="G7" s="13">
        <f t="shared" si="1"/>
        <v>0</v>
      </c>
      <c r="H7" s="13">
        <f t="shared" si="2"/>
        <v>0</v>
      </c>
    </row>
    <row r="8" spans="1:9" ht="16.5" x14ac:dyDescent="0.25">
      <c r="A8" s="14" t="s">
        <v>14</v>
      </c>
      <c r="B8" s="18">
        <v>1</v>
      </c>
      <c r="C8" s="18">
        <v>1</v>
      </c>
      <c r="D8" s="18">
        <v>0</v>
      </c>
      <c r="E8" s="18">
        <v>0</v>
      </c>
      <c r="F8" s="15">
        <f t="shared" si="0"/>
        <v>1</v>
      </c>
      <c r="G8" s="15">
        <f t="shared" si="1"/>
        <v>0</v>
      </c>
      <c r="H8" s="15">
        <f t="shared" si="2"/>
        <v>0</v>
      </c>
    </row>
    <row r="9" spans="1:9" s="1" customFormat="1" ht="16.5" x14ac:dyDescent="0.25">
      <c r="A9" s="12" t="s">
        <v>20</v>
      </c>
      <c r="B9" s="17"/>
      <c r="C9" s="17"/>
      <c r="D9" s="17"/>
      <c r="E9" s="17"/>
      <c r="F9" s="13"/>
      <c r="G9" s="13"/>
      <c r="H9" s="13"/>
      <c r="I9" s="4"/>
    </row>
    <row r="10" spans="1:9" s="1" customFormat="1" ht="16.5" x14ac:dyDescent="0.25">
      <c r="A10" s="14" t="s">
        <v>26</v>
      </c>
      <c r="B10" s="18"/>
      <c r="C10" s="18"/>
      <c r="D10" s="18"/>
      <c r="E10" s="18"/>
      <c r="F10" s="15"/>
      <c r="G10" s="15"/>
      <c r="H10" s="15"/>
      <c r="I10" s="4"/>
    </row>
    <row r="11" spans="1:9" ht="16.5" x14ac:dyDescent="0.25">
      <c r="A11" s="12" t="s">
        <v>21</v>
      </c>
      <c r="B11" s="17">
        <v>10</v>
      </c>
      <c r="C11" s="17">
        <v>10</v>
      </c>
      <c r="D11" s="17">
        <v>0</v>
      </c>
      <c r="E11" s="17">
        <v>0</v>
      </c>
      <c r="F11" s="13">
        <f t="shared" si="0"/>
        <v>1</v>
      </c>
      <c r="G11" s="13">
        <f t="shared" si="1"/>
        <v>0</v>
      </c>
      <c r="H11" s="13">
        <f t="shared" si="2"/>
        <v>0</v>
      </c>
    </row>
    <row r="12" spans="1:9" ht="16.5" x14ac:dyDescent="0.3">
      <c r="A12" s="8" t="s">
        <v>7</v>
      </c>
      <c r="B12" s="19">
        <f>SUM(B3:B11)</f>
        <v>58</v>
      </c>
      <c r="C12" s="19">
        <f>SUM(C3:C11)</f>
        <v>56</v>
      </c>
      <c r="D12" s="19">
        <f>SUM(D3:D11)</f>
        <v>2</v>
      </c>
      <c r="E12" s="19">
        <f>SUM(E3:E11)</f>
        <v>0</v>
      </c>
      <c r="F12" s="5">
        <f t="shared" si="0"/>
        <v>0.96551724137931039</v>
      </c>
      <c r="G12" s="5">
        <f t="shared" si="1"/>
        <v>3.4482758620689655E-2</v>
      </c>
      <c r="H12" s="5">
        <f t="shared" si="2"/>
        <v>0</v>
      </c>
    </row>
  </sheetData>
  <mergeCells count="2">
    <mergeCell ref="C1:D1"/>
    <mergeCell ref="E1:H1"/>
  </mergeCells>
  <phoneticPr fontId="1" type="noConversion"/>
  <conditionalFormatting sqref="F3:F12">
    <cfRule type="colorScale" priority="3">
      <colorScale>
        <cfvo type="num" val="0"/>
        <cfvo type="num" val="0.5"/>
        <cfvo type="num" val="1"/>
        <color rgb="FFFF5050"/>
        <color rgb="FFFFFF00"/>
        <color theme="9" tint="0.59999389629810485"/>
      </colorScale>
    </cfRule>
  </conditionalFormatting>
  <conditionalFormatting sqref="G3:G12">
    <cfRule type="colorScale" priority="2">
      <colorScale>
        <cfvo type="num" val="0"/>
        <cfvo type="num" val="0.5"/>
        <cfvo type="num" val="1"/>
        <color theme="9" tint="0.59999389629810485"/>
        <color rgb="FFFFFF00"/>
        <color rgb="FFFF5050"/>
      </colorScale>
    </cfRule>
  </conditionalFormatting>
  <conditionalFormatting sqref="H3:H12">
    <cfRule type="colorScale" priority="1">
      <colorScale>
        <cfvo type="num" val="0"/>
        <cfvo type="num" val="0.5"/>
        <cfvo type="num" val="1"/>
        <color theme="9" tint="0.59999389629810485"/>
        <color rgb="FFFFFF00"/>
        <color rgb="FFFF5050"/>
      </colorScale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3FBF-1B6F-4496-80CB-20AA79BD08C8}">
  <dimension ref="A1:L7"/>
  <sheetViews>
    <sheetView showGridLines="0" tabSelected="1" zoomScale="115" zoomScaleNormal="115" workbookViewId="0">
      <selection activeCell="F3" sqref="F3:F7"/>
    </sheetView>
  </sheetViews>
  <sheetFormatPr defaultRowHeight="15" x14ac:dyDescent="0.25"/>
  <cols>
    <col min="1" max="1" width="14.7109375" customWidth="1"/>
    <col min="2" max="2" width="23.5703125" customWidth="1"/>
    <col min="5" max="5" width="18" customWidth="1"/>
    <col min="6" max="6" width="25.7109375" customWidth="1"/>
    <col min="7" max="7" width="15.140625" customWidth="1"/>
    <col min="8" max="8" width="10.5703125" customWidth="1"/>
  </cols>
  <sheetData>
    <row r="1" spans="1:12" ht="37.5" x14ac:dyDescent="0.7">
      <c r="A1" s="24" t="s">
        <v>22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</row>
    <row r="2" spans="1:12" ht="16.5" x14ac:dyDescent="0.3">
      <c r="A2" s="6"/>
      <c r="B2" s="6"/>
      <c r="C2" s="6"/>
      <c r="D2" s="6"/>
      <c r="E2" s="10" t="s">
        <v>27</v>
      </c>
      <c r="F2" s="10">
        <f>TestCoverage!C1</f>
        <v>46093.462851273151</v>
      </c>
      <c r="G2" s="6"/>
      <c r="H2" s="6"/>
      <c r="I2" s="6"/>
      <c r="J2" s="6"/>
      <c r="K2" s="6"/>
      <c r="L2" s="6"/>
    </row>
    <row r="3" spans="1:12" ht="16.5" x14ac:dyDescent="0.3">
      <c r="A3" s="7"/>
      <c r="B3" s="7"/>
      <c r="C3" s="7"/>
      <c r="D3" s="6"/>
      <c r="E3" s="8" t="s">
        <v>8</v>
      </c>
      <c r="F3" s="25">
        <f>TestCoverage!B12</f>
        <v>58</v>
      </c>
      <c r="G3" s="6"/>
      <c r="H3" s="6"/>
      <c r="I3" s="6"/>
      <c r="J3" s="6"/>
      <c r="K3" s="6"/>
      <c r="L3" s="6"/>
    </row>
    <row r="4" spans="1:12" ht="16.5" x14ac:dyDescent="0.3">
      <c r="A4" s="7"/>
      <c r="B4" s="7"/>
      <c r="C4" s="7"/>
      <c r="D4" s="6"/>
      <c r="E4" s="9" t="s">
        <v>9</v>
      </c>
      <c r="F4" s="25">
        <f>TestCoverage!C12</f>
        <v>56</v>
      </c>
      <c r="G4" s="6"/>
      <c r="H4" s="6"/>
      <c r="I4" s="6"/>
      <c r="J4" s="6"/>
      <c r="K4" s="6"/>
      <c r="L4" s="6"/>
    </row>
    <row r="5" spans="1:12" ht="16.5" x14ac:dyDescent="0.3">
      <c r="A5" s="7"/>
      <c r="B5" s="7"/>
      <c r="C5" s="7"/>
      <c r="D5" s="6"/>
      <c r="E5" s="9" t="s">
        <v>10</v>
      </c>
      <c r="F5" s="25">
        <f>TestCoverage!D12</f>
        <v>2</v>
      </c>
      <c r="G5" s="6"/>
      <c r="H5" s="6"/>
      <c r="I5" s="6"/>
      <c r="J5" s="6"/>
      <c r="K5" s="6"/>
      <c r="L5" s="6"/>
    </row>
    <row r="6" spans="1:12" ht="16.5" x14ac:dyDescent="0.3">
      <c r="A6" s="7"/>
      <c r="B6" s="7"/>
      <c r="C6" s="7"/>
      <c r="D6" s="6"/>
      <c r="E6" s="9" t="s">
        <v>11</v>
      </c>
      <c r="F6" s="25">
        <f>TestCoverage!E12</f>
        <v>0</v>
      </c>
      <c r="G6" s="6"/>
      <c r="H6" s="6"/>
      <c r="I6" s="6"/>
      <c r="J6" s="6"/>
      <c r="K6" s="6"/>
      <c r="L6" s="6"/>
    </row>
    <row r="7" spans="1:12" ht="16.5" x14ac:dyDescent="0.3">
      <c r="A7" s="6"/>
      <c r="B7" s="6"/>
      <c r="C7" s="6"/>
      <c r="D7" s="6"/>
      <c r="E7" s="9" t="s">
        <v>12</v>
      </c>
      <c r="F7" s="26">
        <f>TestCoverage!C12/TestCoverage!B12</f>
        <v>0.96551724137931039</v>
      </c>
      <c r="G7" s="6"/>
      <c r="H7" s="6"/>
      <c r="I7" s="6"/>
      <c r="J7" s="6"/>
      <c r="K7" s="6"/>
      <c r="L7" s="6"/>
    </row>
  </sheetData>
  <mergeCells count="1">
    <mergeCell ref="A1:L1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17E08-797F-444D-BF6E-D4C8FC527215}">
  <dimension ref="A1:F11"/>
  <sheetViews>
    <sheetView workbookViewId="0">
      <selection activeCell="I10" sqref="I10"/>
    </sheetView>
  </sheetViews>
  <sheetFormatPr defaultRowHeight="15" x14ac:dyDescent="0.25"/>
  <cols>
    <col min="1" max="1" width="30" customWidth="1"/>
    <col min="4" max="5" width="13.85546875" customWidth="1"/>
    <col min="6" max="6" width="10.42578125" customWidth="1"/>
  </cols>
  <sheetData>
    <row r="1" spans="1:6" x14ac:dyDescent="0.25">
      <c r="A1" s="2" t="s">
        <v>23</v>
      </c>
      <c r="B1" s="2" t="s">
        <v>4</v>
      </c>
      <c r="C1" s="2" t="s">
        <v>5</v>
      </c>
      <c r="D1" s="2" t="s">
        <v>6</v>
      </c>
      <c r="E1" s="2" t="s">
        <v>25</v>
      </c>
      <c r="F1" s="2" t="s">
        <v>24</v>
      </c>
    </row>
    <row r="2" spans="1:6" x14ac:dyDescent="0.25">
      <c r="A2" t="str">
        <f>TestCoverage!A3 &amp; " (" &amp; TestCoverage!B3 &amp; ")"</f>
        <v>Validations &amp; Business Rules (33)</v>
      </c>
      <c r="B2" s="3">
        <f>TestCoverage!F3</f>
        <v>0.93939393939393945</v>
      </c>
      <c r="C2" s="3">
        <f>TestCoverage!G3</f>
        <v>6.0606060606060608E-2</v>
      </c>
      <c r="D2" s="3">
        <f>TestCoverage!H3</f>
        <v>0</v>
      </c>
      <c r="E2" s="3">
        <f t="shared" ref="E2:E8" si="0">C2 + D2</f>
        <v>6.0606060606060608E-2</v>
      </c>
      <c r="F2">
        <f>TestCoverage!B3</f>
        <v>33</v>
      </c>
    </row>
    <row r="3" spans="1:6" x14ac:dyDescent="0.25">
      <c r="A3" t="str">
        <f>TestCoverage!A5 &amp; " (" &amp; TestCoverage!B5 &amp; ")"</f>
        <v>SRT Review Workflow ()</v>
      </c>
      <c r="B3" s="3">
        <f>TestCoverage!F5</f>
        <v>0</v>
      </c>
      <c r="C3" s="3">
        <f>TestCoverage!G5</f>
        <v>0</v>
      </c>
      <c r="D3" s="3">
        <f>TestCoverage!H5</f>
        <v>0</v>
      </c>
      <c r="E3" s="3">
        <f t="shared" si="0"/>
        <v>0</v>
      </c>
      <c r="F3">
        <f>TestCoverage!B5</f>
        <v>0</v>
      </c>
    </row>
    <row r="4" spans="1:6" x14ac:dyDescent="0.25">
      <c r="A4" t="str">
        <f>TestCoverage!A11 &amp; " (" &amp; TestCoverage!B11 &amp; ")"</f>
        <v>Timeline &amp; SLA Management (10)</v>
      </c>
      <c r="B4" s="3">
        <f>TestCoverage!F11</f>
        <v>1</v>
      </c>
      <c r="C4" s="3">
        <f>TestCoverage!G11</f>
        <v>0</v>
      </c>
      <c r="D4" s="3">
        <f>TestCoverage!H11</f>
        <v>0</v>
      </c>
      <c r="E4" s="3">
        <f t="shared" si="0"/>
        <v>0</v>
      </c>
      <c r="F4">
        <f>TestCoverage!B11</f>
        <v>10</v>
      </c>
    </row>
    <row r="5" spans="1:6" x14ac:dyDescent="0.25">
      <c r="A5" t="str">
        <f>TestCoverage!A4 &amp; " (" &amp; TestCoverage!B4 &amp; ")"</f>
        <v>RAI Management ()</v>
      </c>
      <c r="B5" s="3">
        <f>TestCoverage!F4</f>
        <v>0</v>
      </c>
      <c r="C5" s="3">
        <f>TestCoverage!G4</f>
        <v>0</v>
      </c>
      <c r="D5" s="3">
        <f>TestCoverage!H4</f>
        <v>0</v>
      </c>
      <c r="E5" s="3">
        <f t="shared" si="0"/>
        <v>0</v>
      </c>
      <c r="F5">
        <f>TestCoverage!B4</f>
        <v>0</v>
      </c>
    </row>
    <row r="6" spans="1:6" x14ac:dyDescent="0.25">
      <c r="A6" t="str">
        <f>TestCoverage!A6 &amp; " (" &amp; TestCoverage!B6 &amp; ")"</f>
        <v>Workflow &amp; Status Transitions (3)</v>
      </c>
      <c r="B6" s="3">
        <f>TestCoverage!F6</f>
        <v>1</v>
      </c>
      <c r="C6" s="3">
        <f>TestCoverage!G6</f>
        <v>0</v>
      </c>
      <c r="D6" s="3">
        <f>TestCoverage!H6</f>
        <v>0</v>
      </c>
      <c r="E6" s="3">
        <f t="shared" si="0"/>
        <v>0</v>
      </c>
      <c r="F6">
        <f>TestCoverage!B6</f>
        <v>3</v>
      </c>
    </row>
    <row r="7" spans="1:6" x14ac:dyDescent="0.25">
      <c r="A7" t="str">
        <f>TestCoverage!A7 &amp; " (" &amp; TestCoverage!B7 &amp; ")"</f>
        <v>Record Lifecycle Management (11)</v>
      </c>
      <c r="B7" s="3">
        <f>TestCoverage!F7</f>
        <v>1</v>
      </c>
      <c r="C7" s="3">
        <f>TestCoverage!G7</f>
        <v>0</v>
      </c>
      <c r="D7" s="3">
        <f>TestCoverage!H7</f>
        <v>0</v>
      </c>
      <c r="E7" s="3">
        <f t="shared" si="0"/>
        <v>0</v>
      </c>
      <c r="F7">
        <f>TestCoverage!B7</f>
        <v>11</v>
      </c>
    </row>
    <row r="8" spans="1:6" x14ac:dyDescent="0.25">
      <c r="A8" t="str">
        <f>TestCoverage!A8 &amp; " (" &amp; TestCoverage!B8 &amp; ")"</f>
        <v>User Access &amp; Permissions (1)</v>
      </c>
      <c r="B8" s="3">
        <f>TestCoverage!F8</f>
        <v>1</v>
      </c>
      <c r="C8" s="3">
        <f>TestCoverage!G8</f>
        <v>0</v>
      </c>
      <c r="D8" s="3">
        <f>TestCoverage!H8</f>
        <v>0</v>
      </c>
      <c r="E8" s="3">
        <f t="shared" si="0"/>
        <v>0</v>
      </c>
      <c r="F8">
        <f>TestCoverage!B8</f>
        <v>1</v>
      </c>
    </row>
    <row r="9" spans="1:6" x14ac:dyDescent="0.25">
      <c r="A9" t="str">
        <f>TestCoverage!A10 &amp; " (" &amp; TestCoverage!B10 &amp; ")"</f>
        <v>API End To End ()</v>
      </c>
      <c r="B9" s="3">
        <f>TestCoverage!F10</f>
        <v>0</v>
      </c>
      <c r="C9" s="3">
        <f>TestCoverage!G10</f>
        <v>0</v>
      </c>
      <c r="D9" s="3">
        <f>TestCoverage!H10</f>
        <v>0</v>
      </c>
      <c r="E9" s="3">
        <f>C10 + D10</f>
        <v>0</v>
      </c>
      <c r="F9">
        <f>TestCoverage!B10</f>
        <v>0</v>
      </c>
    </row>
    <row r="10" spans="1:6" x14ac:dyDescent="0.25">
      <c r="A10" t="str">
        <f>TestCoverage!A9 &amp; " (" &amp; TestCoverage!B9 &amp; ")"</f>
        <v>Assignment &amp; Routing ()</v>
      </c>
      <c r="B10" s="3">
        <f>TestCoverage!F9</f>
        <v>0</v>
      </c>
      <c r="C10" s="3">
        <f>TestCoverage!G9</f>
        <v>0</v>
      </c>
      <c r="D10" s="3">
        <f>TestCoverage!H9</f>
        <v>0</v>
      </c>
      <c r="E10" s="3">
        <f>C9 + D9</f>
        <v>0</v>
      </c>
      <c r="F10">
        <f>TestCoverage!B9</f>
        <v>0</v>
      </c>
    </row>
    <row r="11" spans="1:6" x14ac:dyDescent="0.25">
      <c r="A11" t="str">
        <f>TestCoverage!A12 &amp; " (" &amp; TestCoverage!B12 &amp; ")"</f>
        <v>TOTAL (58)</v>
      </c>
      <c r="B11" s="3">
        <f>TestCoverage!F12</f>
        <v>0.96551724137931039</v>
      </c>
      <c r="C11" s="3">
        <f>TestCoverage!G12</f>
        <v>3.4482758620689655E-2</v>
      </c>
      <c r="D11" s="3">
        <f>TestCoverage!H12</f>
        <v>0</v>
      </c>
      <c r="E11" s="3"/>
      <c r="F11">
        <f>TestCoverage!B12</f>
        <v>58</v>
      </c>
    </row>
  </sheetData>
  <sortState xmlns:xlrd2="http://schemas.microsoft.com/office/spreadsheetml/2017/richdata2" ref="A2:F11">
    <sortCondition descending="1" ref="E2:E1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TestCoverage</vt:lpstr>
      <vt:lpstr>Dashboard</vt:lpstr>
      <vt:lpstr>Dashboard_Data</vt:lpstr>
    </vt:vector>
  </TitlesOfParts>
  <Company>ICF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Ammar, Amjad</dc:creator>
  <cp:lastModifiedBy>Ammar, Amjad</cp:lastModifiedBy>
  <dcterms:created xsi:type="dcterms:W3CDTF">2026-02-20T17:13:13Z</dcterms:created>
  <dcterms:modified xsi:type="dcterms:W3CDTF">2026-03-12T19:27:57Z</dcterms:modified>
</cp:coreProperties>
</file>