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ED2B0BF4-F9A7-400B-8F68-D85C6A0E3E09}" xr6:coauthVersionLast="47" xr6:coauthVersionMax="47" xr10:uidLastSave="{00000000-0000-0000-0000-000000000000}"/>
  <bookViews>
    <workbookView xWindow="-120" yWindow="-120" windowWidth="29040" windowHeight="15720" xr2:uid="{79FC711E-34A0-4D45-A805-C86E1CFB22CF}"/>
  </bookViews>
  <sheets>
    <sheet name="TestCoverage" sheetId="1" r:id="rId1"/>
    <sheet name="Dashboard" sheetId="2" r:id="rId2"/>
    <sheet name="Dashboard_Data" sheetId="3" r:id="rId3"/>
  </sheets>
  <definedNames>
    <definedName name="_xlnm._FilterDatabase" localSheetId="2" hidden="1">Dashboard_Data!$A$1:$F$16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B17" i="1"/>
  <c r="F7" i="1"/>
  <c r="F8" i="1"/>
  <c r="F9" i="1"/>
  <c r="F10" i="1"/>
  <c r="F11" i="1"/>
  <c r="F12" i="1"/>
  <c r="F13" i="1"/>
  <c r="F14" i="1"/>
  <c r="F15" i="1"/>
  <c r="F16" i="1"/>
  <c r="F3" i="1"/>
  <c r="F4" i="1"/>
  <c r="F5" i="1"/>
  <c r="F6" i="1"/>
  <c r="H16" i="1" l="1"/>
  <c r="G16" i="1"/>
  <c r="F2" i="3" l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D14" i="3"/>
  <c r="C14" i="3"/>
  <c r="B14" i="3"/>
  <c r="A14" i="3"/>
  <c r="A13" i="3"/>
  <c r="A12" i="3"/>
  <c r="A11" i="3"/>
  <c r="A10" i="3"/>
  <c r="A7" i="3"/>
  <c r="A4" i="3"/>
  <c r="A3" i="3"/>
  <c r="A2" i="3"/>
  <c r="G2" i="3" l="1"/>
  <c r="E14" i="3"/>
  <c r="H4" i="1" l="1"/>
  <c r="D2" i="3" s="1"/>
  <c r="H5" i="1"/>
  <c r="D3" i="3" s="1"/>
  <c r="H6" i="1"/>
  <c r="D4" i="3" s="1"/>
  <c r="H7" i="1"/>
  <c r="D5" i="3" s="1"/>
  <c r="H8" i="1"/>
  <c r="D6" i="3" s="1"/>
  <c r="H9" i="1"/>
  <c r="D7" i="3" s="1"/>
  <c r="H10" i="1"/>
  <c r="D8" i="3" s="1"/>
  <c r="H11" i="1"/>
  <c r="D9" i="3" s="1"/>
  <c r="H12" i="1"/>
  <c r="D10" i="3" s="1"/>
  <c r="H13" i="1"/>
  <c r="D11" i="3" s="1"/>
  <c r="H14" i="1"/>
  <c r="D12" i="3" s="1"/>
  <c r="G4" i="1"/>
  <c r="C2" i="3" s="1"/>
  <c r="G5" i="1"/>
  <c r="C3" i="3" s="1"/>
  <c r="G6" i="1"/>
  <c r="C4" i="3" s="1"/>
  <c r="G7" i="1"/>
  <c r="C5" i="3" s="1"/>
  <c r="G8" i="1"/>
  <c r="C6" i="3" s="1"/>
  <c r="G9" i="1"/>
  <c r="C7" i="3" s="1"/>
  <c r="G10" i="1"/>
  <c r="C8" i="3" s="1"/>
  <c r="G11" i="1"/>
  <c r="C9" i="3" s="1"/>
  <c r="G12" i="1"/>
  <c r="C10" i="3" s="1"/>
  <c r="G13" i="1"/>
  <c r="C11" i="3" s="1"/>
  <c r="G14" i="1"/>
  <c r="C12" i="3" s="1"/>
  <c r="B2" i="3"/>
  <c r="B3" i="3"/>
  <c r="B4" i="3"/>
  <c r="B5" i="3"/>
  <c r="B6" i="3"/>
  <c r="B7" i="3"/>
  <c r="B8" i="3"/>
  <c r="B9" i="3"/>
  <c r="B10" i="3"/>
  <c r="B11" i="3"/>
  <c r="B12" i="3"/>
  <c r="B13" i="3"/>
  <c r="A9" i="3"/>
  <c r="A8" i="3"/>
  <c r="A15" i="3"/>
  <c r="F15" i="3"/>
  <c r="E17" i="1"/>
  <c r="F6" i="2" s="1"/>
  <c r="A5" i="3"/>
  <c r="A6" i="3"/>
  <c r="B15" i="3"/>
  <c r="D17" i="1"/>
  <c r="F5" i="2" s="1"/>
  <c r="H15" i="1"/>
  <c r="D13" i="3" s="1"/>
  <c r="H3" i="1"/>
  <c r="D15" i="3" s="1"/>
  <c r="C17" i="1"/>
  <c r="G15" i="1"/>
  <c r="C13" i="3" s="1"/>
  <c r="G3" i="1"/>
  <c r="C15" i="3" s="1"/>
  <c r="F3" i="2"/>
  <c r="E7" i="3" l="1"/>
  <c r="E3" i="3"/>
  <c r="G15" i="3"/>
  <c r="G16" i="3"/>
  <c r="E2" i="3"/>
  <c r="F4" i="2"/>
  <c r="F7" i="2" s="1"/>
  <c r="E13" i="3"/>
  <c r="E11" i="3"/>
  <c r="E4" i="3"/>
  <c r="E6" i="3"/>
  <c r="E10" i="3"/>
  <c r="E9" i="3"/>
  <c r="E5" i="3"/>
  <c r="E12" i="3"/>
  <c r="E8" i="3"/>
  <c r="E15" i="3"/>
  <c r="F16" i="3"/>
  <c r="A16" i="3"/>
  <c r="G17" i="1"/>
  <c r="C16" i="3" s="1"/>
  <c r="F17" i="1"/>
  <c r="B16" i="3" s="1"/>
  <c r="H17" i="1"/>
  <c r="D16" i="3" s="1"/>
</calcChain>
</file>

<file path=xl/sharedStrings.xml><?xml version="1.0" encoding="utf-8"?>
<sst xmlns="http://schemas.openxmlformats.org/spreadsheetml/2006/main" count="38" uniqueCount="35">
  <si>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</si>
  <si>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</si>
  <si>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</si>
  <si>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</si>
  <si>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</si>
  <si>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</si>
  <si>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</si>
  <si>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</si>
  <si>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</si>
  <si>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</si>
  <si>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</si>
  <si>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</si>
  <si>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</si>
  <si>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</si>
  <si>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</si>
  <si>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</si>
  <si>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</si>
  <si>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SRT Review Workflow</t>
  </si>
  <si>
    <t>Workflow &amp; Status Transitions</t>
  </si>
  <si>
    <t>Record Lifecycle Management</t>
  </si>
  <si>
    <t>Assignment &amp; Routing</t>
  </si>
  <si>
    <t>Timeline &amp; SLA Management</t>
  </si>
  <si>
    <t>Automation Execution Coverage - OneMAC SMART</t>
  </si>
  <si>
    <t>Chart Label</t>
  </si>
  <si>
    <t>Total Tests</t>
  </si>
  <si>
    <t>Risk</t>
  </si>
  <si>
    <t>API End To End</t>
  </si>
  <si>
    <t>Execution Date:</t>
  </si>
  <si>
    <t>Execution Date &amp; Time:</t>
  </si>
  <si>
    <t>Search &amp; Filters</t>
  </si>
  <si>
    <t>Reporting &amp; Data Export</t>
  </si>
  <si>
    <t>Accessibility (Section 508 Compliance)</t>
  </si>
  <si>
    <t>Email Notifications &amp; Alerts</t>
  </si>
  <si>
    <t>Document Management</t>
  </si>
  <si>
    <t>Pending Automation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</si>
</sst>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\ h:mm:ss\ AM/PM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b/>
      <sz val="20"/>
      <color theme="1"/>
      <name val="Segoe UI"/>
      <family val="2"/>
    </font>
    <font>
      <b/>
      <sz val="10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vertical="top" wrapText="1"/>
    </xf>
    <xf numFmtId="165" fontId="5" fillId="3" borderId="1" xfId="0" applyNumberFormat="1" applyFont="1" applyFill="1" applyBorder="1"/>
    <xf numFmtId="0" fontId="3" fillId="5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7" fillId="7" borderId="0" xfId="0" applyFont="1" applyFill="1" applyAlignment="1">
      <alignment vertic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 vertical="center"/>
    </xf>
    <xf numFmtId="9" fontId="9" fillId="2" borderId="1" xfId="0" applyNumberFormat="1" applyFont="1" applyFill="1" applyBorder="1" applyAlignment="1">
      <alignment horizontal="center" vertical="center"/>
    </xf>
    <xf numFmtId="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9" fontId="5" fillId="7" borderId="1" xfId="0" applyNumberFormat="1" applyFont="1" applyFill="1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0" borderId="1" xfId="0" applyBorder="1" applyAlignment="1">
      <alignment vertical="center" wrapText="1"/>
    </xf>
    <xf numFmtId="165" fontId="0" fillId="7" borderId="2" xfId="0" applyNumberFormat="1" applyFill="1" applyBorder="1" applyAlignment="1">
      <alignment vertical="center"/>
    </xf>
    <xf numFmtId="165" fontId="0" fillId="0" borderId="0" xfId="0" applyNumberFormat="1"/>
    <xf numFmtId="165" fontId="0" fillId="7" borderId="2" xfId="0" applyNumberFormat="1" applyFill="1" applyBorder="1" applyAlignment="1">
      <alignment vertic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rgb="FFFFFF66"/>
        </patternFill>
      </fill>
    </dxf>
    <dxf>
      <fill>
        <patternFill>
          <bgColor rgb="FFFF5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5050"/>
        </patternFill>
      </fill>
    </dxf>
    <dxf>
      <fill>
        <patternFill>
          <bgColor rgb="FFEF8C5B"/>
        </patternFill>
      </fill>
    </dxf>
    <dxf>
      <fill>
        <patternFill>
          <bgColor theme="9" tint="0.79998168889431442"/>
        </patternFill>
      </fill>
    </dxf>
    <dxf>
      <fill>
        <patternFill>
          <bgColor rgb="FFF8696B"/>
        </patternFill>
      </fill>
    </dxf>
  </dxfs>
  <tableStyles count="0" defaultTableStyle="TableStyleMedium2" defaultPivotStyle="PivotStyleLight16"/>
  <colors>
    <mruColors>
      <color rgb="FFFF5050"/>
      <color rgb="FFFFFF66"/>
      <color rgb="FFEF8C5B"/>
      <color rgb="FFF8696B"/>
      <color rgb="FFDAF2D0"/>
      <color rgb="FFCC3300"/>
      <color rgb="FFFFFFFF"/>
      <color rgb="FFF7F7F7"/>
      <color rgb="FF4F81BD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6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Dashboard_Data!$A$2:$A$15</c:f>
              <c:strCache>
                <c:ptCount val="14"/>
                <c:pt idx="0">
                  <c:v>RAI Management (3)</c:v>
                </c:pt>
                <c:pt idx="1">
                  <c:v>SRT Review Workflow ()</c:v>
                </c:pt>
                <c:pt idx="2">
                  <c:v>Workflow &amp; Status Transitions (7)</c:v>
                </c:pt>
                <c:pt idx="3">
                  <c:v>Record Lifecycle Management (17)</c:v>
                </c:pt>
                <c:pt idx="4">
                  <c:v>User Access &amp; Permissions (1)</c:v>
                </c:pt>
                <c:pt idx="5">
                  <c:v>Assignment &amp; Routing (8)</c:v>
                </c:pt>
                <c:pt idx="6">
                  <c:v>API End To End ()</c:v>
                </c:pt>
                <c:pt idx="7">
                  <c:v>Search &amp; Filters ()</c:v>
                </c:pt>
                <c:pt idx="8">
                  <c:v>Reporting &amp; Data Export ()</c:v>
                </c:pt>
                <c:pt idx="9">
                  <c:v>Accessibility (Section 508 Compliance) ()</c:v>
                </c:pt>
                <c:pt idx="10">
                  <c:v>Email Notifications &amp; Alerts ()</c:v>
                </c:pt>
                <c:pt idx="11">
                  <c:v>Timeline &amp; SLA Management (10)</c:v>
                </c:pt>
                <c:pt idx="12">
                  <c:v>Document Management ()</c:v>
                </c:pt>
                <c:pt idx="13">
                  <c:v>Validations &amp; Business Rules (25)</c:v>
                </c:pt>
              </c:strCache>
            </c:strRef>
          </c:cat>
          <c:val>
            <c:numRef>
              <c:f>Dashboard_Data!$B$2:$B$15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Dashboard_Data!$A$2:$A$15</c:f>
              <c:strCache>
                <c:ptCount val="14"/>
                <c:pt idx="0">
                  <c:v>RAI Management (3)</c:v>
                </c:pt>
                <c:pt idx="1">
                  <c:v>SRT Review Workflow ()</c:v>
                </c:pt>
                <c:pt idx="2">
                  <c:v>Workflow &amp; Status Transitions (7)</c:v>
                </c:pt>
                <c:pt idx="3">
                  <c:v>Record Lifecycle Management (17)</c:v>
                </c:pt>
                <c:pt idx="4">
                  <c:v>User Access &amp; Permissions (1)</c:v>
                </c:pt>
                <c:pt idx="5">
                  <c:v>Assignment &amp; Routing (8)</c:v>
                </c:pt>
                <c:pt idx="6">
                  <c:v>API End To End ()</c:v>
                </c:pt>
                <c:pt idx="7">
                  <c:v>Search &amp; Filters ()</c:v>
                </c:pt>
                <c:pt idx="8">
                  <c:v>Reporting &amp; Data Export ()</c:v>
                </c:pt>
                <c:pt idx="9">
                  <c:v>Accessibility (Section 508 Compliance) ()</c:v>
                </c:pt>
                <c:pt idx="10">
                  <c:v>Email Notifications &amp; Alerts ()</c:v>
                </c:pt>
                <c:pt idx="11">
                  <c:v>Timeline &amp; SLA Management (10)</c:v>
                </c:pt>
                <c:pt idx="12">
                  <c:v>Document Management ()</c:v>
                </c:pt>
                <c:pt idx="13">
                  <c:v>Validations &amp; Business Rules (25)</c:v>
                </c:pt>
              </c:strCache>
            </c:strRef>
          </c:cat>
          <c:val>
            <c:numRef>
              <c:f>Dashboard_Data!$C$2:$C$15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strRef>
              <c:f>Dashboard_Data!$D$1</c:f>
              <c:strCache>
                <c:ptCount val="1"/>
                <c:pt idx="0">
                  <c:v>Blocked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Dashboard_Data!$A$2:$A$15</c:f>
              <c:strCache>
                <c:ptCount val="14"/>
                <c:pt idx="0">
                  <c:v>RAI Management (3)</c:v>
                </c:pt>
                <c:pt idx="1">
                  <c:v>SRT Review Workflow ()</c:v>
                </c:pt>
                <c:pt idx="2">
                  <c:v>Workflow &amp; Status Transitions (7)</c:v>
                </c:pt>
                <c:pt idx="3">
                  <c:v>Record Lifecycle Management (17)</c:v>
                </c:pt>
                <c:pt idx="4">
                  <c:v>User Access &amp; Permissions (1)</c:v>
                </c:pt>
                <c:pt idx="5">
                  <c:v>Assignment &amp; Routing (8)</c:v>
                </c:pt>
                <c:pt idx="6">
                  <c:v>API End To End ()</c:v>
                </c:pt>
                <c:pt idx="7">
                  <c:v>Search &amp; Filters ()</c:v>
                </c:pt>
                <c:pt idx="8">
                  <c:v>Reporting &amp; Data Export ()</c:v>
                </c:pt>
                <c:pt idx="9">
                  <c:v>Accessibility (Section 508 Compliance) ()</c:v>
                </c:pt>
                <c:pt idx="10">
                  <c:v>Email Notifications &amp; Alerts ()</c:v>
                </c:pt>
                <c:pt idx="11">
                  <c:v>Timeline &amp; SLA Management (10)</c:v>
                </c:pt>
                <c:pt idx="12">
                  <c:v>Document Management ()</c:v>
                </c:pt>
                <c:pt idx="13">
                  <c:v>Validations &amp; Business Rules (25)</c:v>
                </c:pt>
              </c:strCache>
            </c:strRef>
          </c:cat>
          <c:val>
            <c:numRef>
              <c:f>Dashboard_Data!$D$2:$D$15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ser>
          <c:idx val="0"/>
          <c:order val="3"/>
          <c:tx>
            <c:strRef>
              <c:f>Dashboard_Data!$G$1</c:f>
              <c:strCache>
                <c:ptCount val="1"/>
                <c:pt idx="0">
                  <c:v>Pending Automation %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Dashboard_Data!$A$2:$A$15</c:f>
              <c:strCache>
                <c:ptCount val="14"/>
                <c:pt idx="0">
                  <c:v>RAI Management (3)</c:v>
                </c:pt>
                <c:pt idx="1">
                  <c:v>SRT Review Workflow ()</c:v>
                </c:pt>
                <c:pt idx="2">
                  <c:v>Workflow &amp; Status Transitions (7)</c:v>
                </c:pt>
                <c:pt idx="3">
                  <c:v>Record Lifecycle Management (17)</c:v>
                </c:pt>
                <c:pt idx="4">
                  <c:v>User Access &amp; Permissions (1)</c:v>
                </c:pt>
                <c:pt idx="5">
                  <c:v>Assignment &amp; Routing (8)</c:v>
                </c:pt>
                <c:pt idx="6">
                  <c:v>API End To End ()</c:v>
                </c:pt>
                <c:pt idx="7">
                  <c:v>Search &amp; Filters ()</c:v>
                </c:pt>
                <c:pt idx="8">
                  <c:v>Reporting &amp; Data Export ()</c:v>
                </c:pt>
                <c:pt idx="9">
                  <c:v>Accessibility (Section 508 Compliance) ()</c:v>
                </c:pt>
                <c:pt idx="10">
                  <c:v>Email Notifications &amp; Alerts ()</c:v>
                </c:pt>
                <c:pt idx="11">
                  <c:v>Timeline &amp; SLA Management (10)</c:v>
                </c:pt>
                <c:pt idx="12">
                  <c:v>Document Management ()</c:v>
                </c:pt>
                <c:pt idx="13">
                  <c:v>Validations &amp; Business Rules (25)</c:v>
                </c:pt>
              </c:strCache>
            </c:strRef>
          </c:cat>
          <c:val>
            <c:numRef>
              <c:f>Dashboard_Data!$G$2:$G$15</c:f>
              <c:numCache>
                <c:formatCode>0%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EC-408F-AD2C-7EC024EDF9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588824688972519"/>
          <c:y val="0.9143754541065745"/>
          <c:w val="0.30556385581748019"/>
          <c:h val="7.9481106747818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209000</xdr:colOff>
      <xdr:row>7</xdr:row>
      <xdr:rowOff>144431</xdr:rowOff>
    </xdr:from>
    <xdr:to>
      <xdr:col>12</xdr:col>
      <xdr:colOff>227134</xdr:colOff>
      <xdr:row>31</xdr:row>
      <xdr:rowOff>66260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7"/>
  <sheetViews>
    <sheetView showGridLines="0" tabSelected="1" zoomScale="175" zoomScaleNormal="175" workbookViewId="0">
      <selection activeCell="C1" sqref="C1:D1"/>
    </sheetView>
  </sheetViews>
  <sheetFormatPr defaultRowHeight="15" x14ac:dyDescent="0.25"/>
  <cols>
    <col min="1" max="1" width="32.5703125" customWidth="1"/>
    <col min="2" max="2" width="24" customWidth="1"/>
    <col min="3" max="3" width="24.5703125" customWidth="1"/>
    <col min="4" max="4" width="14.7109375" customWidth="1"/>
    <col min="5" max="5" width="9.140625" customWidth="1"/>
    <col min="6" max="6" width="8.140625" customWidth="1"/>
    <col min="7" max="7" width="7.140625" customWidth="1"/>
    <col min="8" max="8" width="11.28515625" customWidth="1"/>
    <col min="9" max="9" width="24" customWidth="1"/>
  </cols>
  <sheetData>
    <row r="1" spans="1:9" ht="15" customHeight="1" x14ac:dyDescent="0.25">
      <c r="A1" s="13" t="s">
        <v>28</v>
      </c>
      <c r="B1" s="23"/>
      <c r="C1" s="24">
        <v>46098.618946759256</v>
      </c>
      <c r="D1" s="25"/>
      <c r="E1" s="23"/>
      <c r="F1" s="23"/>
      <c r="G1" s="23"/>
      <c r="H1" s="23"/>
    </row>
    <row r="2" spans="1:9" ht="16.5" x14ac:dyDescent="0.25">
      <c r="A2" s="11" t="s">
        <v>0</v>
      </c>
      <c r="B2" s="11" t="s">
        <v>13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</row>
    <row r="3" spans="1:9" ht="16.5" x14ac:dyDescent="0.25">
      <c r="A3" s="6" t="s">
        <v>15</v>
      </c>
      <c r="B3" s="9">
        <v>25</v>
      </c>
      <c r="C3" s="9">
        <v>19</v>
      </c>
      <c r="D3" s="9">
        <v>6</v>
      </c>
      <c r="E3" s="9">
        <v>0</v>
      </c>
      <c r="F3" s="7">
        <f>IF(B3=0,"",C3/B3)</f>
        <v>0.76</v>
      </c>
      <c r="G3" s="7">
        <f>IFERROR(D3/B3,0)</f>
        <v>0.24</v>
      </c>
      <c r="H3" s="7">
        <f>IFERROR(E3/B3,0)</f>
        <v>0</v>
      </c>
    </row>
    <row r="4" spans="1:9" ht="16.5" x14ac:dyDescent="0.25">
      <c r="A4" s="8" t="s">
        <v>16</v>
      </c>
      <c r="B4" s="10">
        <v>3</v>
      </c>
      <c r="C4" s="10">
        <v>3</v>
      </c>
      <c r="D4" s="10">
        <v>0</v>
      </c>
      <c r="E4" s="10">
        <v>0</v>
      </c>
      <c r="F4" s="7">
        <f t="shared" ref="F4:F16" si="0">IF(B4=0,"",C4/B4)</f>
        <v>1</v>
      </c>
      <c r="G4" s="7">
        <f t="shared" ref="G4:G14" si="1">IFERROR(D4/B4,0)</f>
        <v>0</v>
      </c>
      <c r="H4" s="7">
        <f t="shared" ref="H4:H14" si="2">IFERROR(E4/B4,0)</f>
        <v>0</v>
      </c>
    </row>
    <row r="5" spans="1:9" ht="16.5" x14ac:dyDescent="0.25">
      <c r="A5" s="6" t="s">
        <v>17</v>
      </c>
      <c r="B5" s="9"/>
      <c r="C5" s="9"/>
      <c r="D5" s="9"/>
      <c r="E5" s="9"/>
      <c r="F5" s="7" t="str">
        <f t="shared" si="0"/>
        <v/>
      </c>
      <c r="G5" s="7">
        <f t="shared" si="1"/>
        <v>0</v>
      </c>
      <c r="H5" s="7">
        <f t="shared" si="2"/>
        <v>0</v>
      </c>
    </row>
    <row r="6" spans="1:9" ht="16.5" x14ac:dyDescent="0.25">
      <c r="A6" s="8" t="s">
        <v>18</v>
      </c>
      <c r="B6" s="10">
        <v>7</v>
      </c>
      <c r="C6" s="10">
        <v>7</v>
      </c>
      <c r="D6" s="10">
        <v>0</v>
      </c>
      <c r="E6" s="10">
        <v>0</v>
      </c>
      <c r="F6" s="7">
        <f t="shared" si="0"/>
        <v>1</v>
      </c>
      <c r="G6" s="7">
        <f t="shared" si="1"/>
        <v>0</v>
      </c>
      <c r="H6" s="7">
        <f t="shared" si="2"/>
        <v>0</v>
      </c>
    </row>
    <row r="7" spans="1:9" ht="16.5" x14ac:dyDescent="0.25">
      <c r="A7" s="6" t="s">
        <v>19</v>
      </c>
      <c r="B7" s="9">
        <v>17</v>
      </c>
      <c r="C7" s="9">
        <v>17</v>
      </c>
      <c r="D7" s="9">
        <v>0</v>
      </c>
      <c r="E7" s="9">
        <v>0</v>
      </c>
      <c r="F7" s="7">
        <f t="shared" si="0"/>
        <v>1</v>
      </c>
      <c r="G7" s="7">
        <f t="shared" si="1"/>
        <v>0</v>
      </c>
      <c r="H7" s="7">
        <f t="shared" si="2"/>
        <v>0</v>
      </c>
    </row>
    <row r="8" spans="1:9" ht="16.5" x14ac:dyDescent="0.25">
      <c r="A8" s="8" t="s">
        <v>14</v>
      </c>
      <c r="B8" s="9">
        <v>1</v>
      </c>
      <c r="C8" s="10">
        <v>1</v>
      </c>
      <c r="D8" s="10">
        <v>0</v>
      </c>
      <c r="E8" s="10">
        <v>0</v>
      </c>
      <c r="F8" s="7">
        <f t="shared" si="0"/>
        <v>1</v>
      </c>
      <c r="G8" s="7">
        <f t="shared" si="1"/>
        <v>0</v>
      </c>
      <c r="H8" s="7">
        <f t="shared" si="2"/>
        <v>0</v>
      </c>
    </row>
    <row r="9" spans="1:9" s="1" customFormat="1" ht="16.5" x14ac:dyDescent="0.25">
      <c r="A9" s="6" t="s">
        <v>20</v>
      </c>
      <c r="B9" s="9">
        <v>8</v>
      </c>
      <c r="C9" s="9">
        <v>8</v>
      </c>
      <c r="D9" s="9">
        <v>0</v>
      </c>
      <c r="E9" s="9">
        <v>0</v>
      </c>
      <c r="F9" s="7">
        <f t="shared" si="0"/>
        <v>1</v>
      </c>
      <c r="G9" s="7">
        <f t="shared" si="1"/>
        <v>0</v>
      </c>
      <c r="H9" s="7">
        <f t="shared" si="2"/>
        <v>0</v>
      </c>
      <c r="I9" s="2"/>
    </row>
    <row r="10" spans="1:9" s="1" customFormat="1" ht="16.5" x14ac:dyDescent="0.25">
      <c r="A10" s="8" t="s">
        <v>26</v>
      </c>
      <c r="B10" s="9"/>
      <c r="C10" s="10"/>
      <c r="D10" s="10"/>
      <c r="E10" s="10"/>
      <c r="F10" s="7" t="str">
        <f t="shared" si="0"/>
        <v/>
      </c>
      <c r="G10" s="7">
        <f t="shared" si="1"/>
        <v>0</v>
      </c>
      <c r="H10" s="7">
        <f t="shared" si="2"/>
        <v>0</v>
      </c>
      <c r="I10" s="2"/>
    </row>
    <row r="11" spans="1:9" s="1" customFormat="1" ht="16.5" x14ac:dyDescent="0.25">
      <c r="A11" s="6" t="s">
        <v>29</v>
      </c>
      <c r="B11" s="9"/>
      <c r="C11" s="9"/>
      <c r="D11" s="9"/>
      <c r="E11" s="9"/>
      <c r="F11" s="7" t="str">
        <f t="shared" si="0"/>
        <v/>
      </c>
      <c r="G11" s="7">
        <f t="shared" si="1"/>
        <v>0</v>
      </c>
      <c r="H11" s="7">
        <f t="shared" si="2"/>
        <v>0</v>
      </c>
      <c r="I11" s="2"/>
    </row>
    <row r="12" spans="1:9" s="1" customFormat="1" ht="16.5" x14ac:dyDescent="0.25">
      <c r="A12" s="8" t="s">
        <v>30</v>
      </c>
      <c r="B12" s="9"/>
      <c r="C12" s="10"/>
      <c r="D12" s="10"/>
      <c r="E12" s="10"/>
      <c r="F12" s="7" t="str">
        <f t="shared" si="0"/>
        <v/>
      </c>
      <c r="G12" s="7">
        <f t="shared" si="1"/>
        <v>0</v>
      </c>
      <c r="H12" s="7">
        <f t="shared" si="2"/>
        <v>0</v>
      </c>
      <c r="I12" s="2"/>
    </row>
    <row r="13" spans="1:9" s="1" customFormat="1" ht="13.5" customHeight="1" x14ac:dyDescent="0.25">
      <c r="A13" s="6" t="s">
        <v>31</v>
      </c>
      <c r="B13" s="9"/>
      <c r="C13" s="9"/>
      <c r="D13" s="9"/>
      <c r="E13" s="9"/>
      <c r="F13" s="7" t="str">
        <f t="shared" si="0"/>
        <v/>
      </c>
      <c r="G13" s="7">
        <f t="shared" si="1"/>
        <v>0</v>
      </c>
      <c r="H13" s="7">
        <f t="shared" si="2"/>
        <v>0</v>
      </c>
      <c r="I13" s="2"/>
    </row>
    <row r="14" spans="1:9" s="1" customFormat="1" ht="16.5" x14ac:dyDescent="0.25">
      <c r="A14" s="8" t="s">
        <v>32</v>
      </c>
      <c r="B14" s="9"/>
      <c r="C14" s="10"/>
      <c r="D14" s="10"/>
      <c r="E14" s="10"/>
      <c r="F14" s="7" t="str">
        <f t="shared" si="0"/>
        <v/>
      </c>
      <c r="G14" s="7">
        <f t="shared" si="1"/>
        <v>0</v>
      </c>
      <c r="H14" s="7">
        <f t="shared" si="2"/>
        <v>0</v>
      </c>
      <c r="I14" s="2"/>
    </row>
    <row r="15" spans="1:9" ht="16.5" x14ac:dyDescent="0.25">
      <c r="A15" s="6" t="s">
        <v>21</v>
      </c>
      <c r="B15" s="9">
        <v>10</v>
      </c>
      <c r="C15" s="9">
        <v>10</v>
      </c>
      <c r="D15" s="9">
        <v>0</v>
      </c>
      <c r="E15" s="9">
        <v>0</v>
      </c>
      <c r="F15" s="7">
        <f t="shared" si="0"/>
        <v>1</v>
      </c>
      <c r="G15" s="7">
        <f>IFERROR(D15/B15,0)</f>
        <v>0</v>
      </c>
      <c r="H15" s="7">
        <f t="shared" ref="H15:H17" si="3">IFERROR(E15/B15,0)</f>
        <v>0</v>
      </c>
    </row>
    <row r="16" spans="1:9" ht="16.5" x14ac:dyDescent="0.25">
      <c r="A16" s="8" t="s">
        <v>33</v>
      </c>
      <c r="B16" s="9"/>
      <c r="C16" s="10"/>
      <c r="D16" s="10"/>
      <c r="E16" s="10"/>
      <c r="F16" s="7" t="str">
        <f t="shared" si="0"/>
        <v/>
      </c>
      <c r="G16" s="7">
        <f>IFERROR(D16/B16,0)</f>
        <v>0</v>
      </c>
      <c r="H16" s="7">
        <f t="shared" si="3"/>
        <v>0</v>
      </c>
    </row>
    <row r="17" spans="1:8" x14ac:dyDescent="0.25">
      <c r="A17" s="14" t="s">
        <v>7</v>
      </c>
      <c r="B17" s="15">
        <f>SUM(B3:B16)</f>
        <v>71</v>
      </c>
      <c r="C17" s="15">
        <f>SUM(C3:C15)</f>
        <v>65</v>
      </c>
      <c r="D17" s="15">
        <f>SUM(D3:D15)</f>
        <v>6</v>
      </c>
      <c r="E17" s="15">
        <f>SUM(E3:E15)</f>
        <v>0</v>
      </c>
      <c r="F17" s="16">
        <f t="shared" ref="F17" si="4">IFERROR(C17/B17,0)</f>
        <v>0.91549295774647887</v>
      </c>
      <c r="G17" s="16">
        <f t="shared" ref="G17" si="5">IFERROR(D17/B17,0)</f>
        <v>8.4507042253521125E-2</v>
      </c>
      <c r="H17" s="16">
        <f t="shared" si="3"/>
        <v>0</v>
      </c>
    </row>
  </sheetData>
  <mergeCells count="1">
    <mergeCell ref="C1:D1"/>
  </mergeCells>
  <phoneticPr fontId="1" type="noConversion"/>
  <conditionalFormatting sqref="F3:F16">
    <cfRule type="colorScale" priority="5">
      <colorScale>
        <cfvo type="num" val="0"/>
        <cfvo type="num" val="0.6"/>
        <cfvo type="num" val="1"/>
        <color rgb="FFF8696B"/>
        <color rgb="FFFFEB84"/>
        <color rgb="FFDAF2D0"/>
      </colorScale>
    </cfRule>
  </conditionalFormatting>
  <conditionalFormatting sqref="G3:G16">
    <cfRule type="cellIs" dxfId="9" priority="4" operator="greaterThan">
      <formula>0</formula>
    </cfRule>
  </conditionalFormatting>
  <conditionalFormatting sqref="G3:H16">
    <cfRule type="cellIs" dxfId="8" priority="1" operator="equal">
      <formula>0</formula>
    </cfRule>
  </conditionalFormatting>
  <conditionalFormatting sqref="H3:H16">
    <cfRule type="cellIs" dxfId="7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L7"/>
  <sheetViews>
    <sheetView showGridLines="0" topLeftCell="A8" zoomScale="115" zoomScaleNormal="115" workbookViewId="0">
      <selection activeCell="O25" sqref="O25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140625" customWidth="1"/>
    <col min="8" max="8" width="10.5703125" customWidth="1"/>
  </cols>
  <sheetData>
    <row r="1" spans="1:12" ht="30.75" x14ac:dyDescent="0.55000000000000004">
      <c r="A1" s="26" t="s">
        <v>22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6.5" x14ac:dyDescent="0.3">
      <c r="A2" s="3"/>
      <c r="B2" s="3"/>
      <c r="C2" s="3"/>
      <c r="D2" s="3"/>
      <c r="E2" s="5" t="s">
        <v>27</v>
      </c>
      <c r="F2" s="5">
        <f>TestCoverage!C1</f>
        <v>46098.618946759256</v>
      </c>
      <c r="G2" s="3"/>
      <c r="H2" s="3"/>
      <c r="I2" s="3"/>
      <c r="J2" s="3"/>
      <c r="K2" s="3"/>
      <c r="L2" s="3"/>
    </row>
    <row r="3" spans="1:12" ht="16.5" x14ac:dyDescent="0.3">
      <c r="A3" s="4"/>
      <c r="B3" s="4"/>
      <c r="C3" s="4"/>
      <c r="D3" s="3"/>
      <c r="E3" s="12" t="s">
        <v>8</v>
      </c>
      <c r="F3" s="18">
        <f>TestCoverage!B17</f>
        <v>71</v>
      </c>
      <c r="G3" s="3"/>
      <c r="H3" s="3"/>
      <c r="I3" s="3"/>
      <c r="J3" s="3"/>
      <c r="K3" s="3"/>
      <c r="L3" s="3"/>
    </row>
    <row r="4" spans="1:12" ht="16.5" x14ac:dyDescent="0.3">
      <c r="A4" s="4"/>
      <c r="B4" s="4"/>
      <c r="C4" s="4"/>
      <c r="D4" s="3"/>
      <c r="E4" s="12" t="s">
        <v>9</v>
      </c>
      <c r="F4" s="18">
        <f>TestCoverage!C17</f>
        <v>65</v>
      </c>
      <c r="G4" s="3"/>
      <c r="H4" s="3"/>
      <c r="I4" s="3"/>
      <c r="J4" s="3"/>
      <c r="K4" s="3"/>
      <c r="L4" s="3"/>
    </row>
    <row r="5" spans="1:12" ht="16.5" x14ac:dyDescent="0.3">
      <c r="A5" s="4"/>
      <c r="B5" s="4"/>
      <c r="C5" s="4"/>
      <c r="D5" s="3"/>
      <c r="E5" s="12" t="s">
        <v>10</v>
      </c>
      <c r="F5" s="18">
        <f>TestCoverage!D17</f>
        <v>6</v>
      </c>
      <c r="G5" s="3"/>
      <c r="H5" s="3"/>
      <c r="I5" s="3"/>
      <c r="J5" s="3"/>
      <c r="K5" s="3"/>
      <c r="L5" s="3"/>
    </row>
    <row r="6" spans="1:12" ht="16.5" x14ac:dyDescent="0.3">
      <c r="A6" s="4"/>
      <c r="B6" s="4"/>
      <c r="C6" s="4"/>
      <c r="D6" s="3"/>
      <c r="E6" s="12" t="s">
        <v>11</v>
      </c>
      <c r="F6" s="18">
        <f>TestCoverage!E17</f>
        <v>0</v>
      </c>
      <c r="G6" s="3"/>
      <c r="H6" s="3"/>
      <c r="I6" s="3"/>
      <c r="J6" s="3"/>
      <c r="K6" s="3"/>
      <c r="L6" s="3"/>
    </row>
    <row r="7" spans="1:12" ht="16.5" x14ac:dyDescent="0.3">
      <c r="A7" s="3"/>
      <c r="B7" s="3"/>
      <c r="C7" s="3"/>
      <c r="D7" s="3"/>
      <c r="E7" s="12" t="s">
        <v>12</v>
      </c>
      <c r="F7" s="17">
        <f>IFERROR(F4/F3,"")</f>
        <v>0.91549295774647887</v>
      </c>
      <c r="G7" s="3"/>
      <c r="H7" s="3"/>
      <c r="I7" s="3"/>
      <c r="J7" s="3"/>
      <c r="K7" s="3"/>
      <c r="L7" s="3"/>
    </row>
  </sheetData>
  <mergeCells count="1">
    <mergeCell ref="A1:L1"/>
  </mergeCells>
  <conditionalFormatting sqref="E5:F5">
    <cfRule type="expression" dxfId="6" priority="1">
      <formula>$F$5&gt;0</formula>
    </cfRule>
    <cfRule type="expression" dxfId="5" priority="2">
      <formula>$F$5=0</formula>
    </cfRule>
  </conditionalFormatting>
  <conditionalFormatting sqref="E6:F6">
    <cfRule type="expression" dxfId="4" priority="3">
      <formula>$F$6&gt;0</formula>
    </cfRule>
    <cfRule type="expression" dxfId="3" priority="4">
      <formula>$F$6=0</formula>
    </cfRule>
  </conditionalFormatting>
  <conditionalFormatting sqref="E7:F7">
    <cfRule type="cellIs" dxfId="2" priority="5" operator="lessThan">
      <formula>0.6</formula>
    </cfRule>
    <cfRule type="cellIs" dxfId="1" priority="6" operator="between">
      <formula>0.6</formula>
      <formula>0.79</formula>
    </cfRule>
    <cfRule type="cellIs" dxfId="0" priority="7" operator="greaterThanOrEqual">
      <formula>0.8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G16"/>
  <sheetViews>
    <sheetView workbookViewId="0">
      <selection activeCell="E2" sqref="E2"/>
    </sheetView>
  </sheetViews>
  <sheetFormatPr defaultRowHeight="15" x14ac:dyDescent="0.25"/>
  <cols>
    <col min="1" max="1" width="37.85546875" customWidth="1"/>
    <col min="2" max="2" width="14" customWidth="1"/>
    <col min="4" max="5" width="13.85546875" customWidth="1"/>
    <col min="6" max="6" width="10.42578125" customWidth="1"/>
    <col min="7" max="7" width="26.140625" customWidth="1"/>
  </cols>
  <sheetData>
    <row r="1" spans="1:7" x14ac:dyDescent="0.25">
      <c r="A1" s="22" t="s">
        <v>23</v>
      </c>
      <c r="B1" s="22" t="s">
        <v>4</v>
      </c>
      <c r="C1" s="22" t="s">
        <v>5</v>
      </c>
      <c r="D1" s="22" t="s">
        <v>6</v>
      </c>
      <c r="E1" s="22" t="s">
        <v>25</v>
      </c>
      <c r="F1" s="22" t="s">
        <v>24</v>
      </c>
      <c r="G1" s="22" t="s">
        <v>34</v>
      </c>
    </row>
    <row r="2" spans="1:7" ht="16.5" x14ac:dyDescent="0.25">
      <c r="A2" s="20" t="str">
        <f>TestCoverage!A4 &amp; " (" &amp; TestCoverage!B4 &amp; ")"</f>
        <v>RAI Management (3)</v>
      </c>
      <c r="B2" s="21">
        <f>TestCoverage!F4</f>
        <v>1</v>
      </c>
      <c r="C2" s="21">
        <f>TestCoverage!G4</f>
        <v>0</v>
      </c>
      <c r="D2" s="21">
        <f>TestCoverage!H4</f>
        <v>0</v>
      </c>
      <c r="E2" s="21">
        <f>C2 + D2</f>
        <v>0</v>
      </c>
      <c r="F2" s="20">
        <f>TestCoverage!B4</f>
        <v>3</v>
      </c>
      <c r="G2" s="19">
        <f>IF($F2=0,1,0)</f>
        <v>0</v>
      </c>
    </row>
    <row r="3" spans="1:7" ht="16.5" x14ac:dyDescent="0.25">
      <c r="A3" s="20" t="str">
        <f>TestCoverage!A5 &amp; " (" &amp; TestCoverage!B5 &amp; ")"</f>
        <v>SRT Review Workflow ()</v>
      </c>
      <c r="B3" s="21" t="str">
        <f>TestCoverage!F5</f>
        <v/>
      </c>
      <c r="C3" s="21">
        <f>TestCoverage!G5</f>
        <v>0</v>
      </c>
      <c r="D3" s="21">
        <f>TestCoverage!H5</f>
        <v>0</v>
      </c>
      <c r="E3" s="21">
        <f>C3 + D3</f>
        <v>0</v>
      </c>
      <c r="F3" s="20">
        <f>TestCoverage!B5</f>
        <v>0</v>
      </c>
      <c r="G3" s="19">
        <f>IF($F3=0,1,0)</f>
        <v>1</v>
      </c>
    </row>
    <row r="4" spans="1:7" ht="16.5" x14ac:dyDescent="0.25">
      <c r="A4" s="20" t="str">
        <f>TestCoverage!A6 &amp; " (" &amp; TestCoverage!B6 &amp; ")"</f>
        <v>Workflow &amp; Status Transitions (7)</v>
      </c>
      <c r="B4" s="21">
        <f>TestCoverage!F6</f>
        <v>1</v>
      </c>
      <c r="C4" s="21">
        <f>TestCoverage!G6</f>
        <v>0</v>
      </c>
      <c r="D4" s="21">
        <f>TestCoverage!H6</f>
        <v>0</v>
      </c>
      <c r="E4" s="21">
        <f>C4 + D4</f>
        <v>0</v>
      </c>
      <c r="F4" s="20">
        <f>TestCoverage!B6</f>
        <v>7</v>
      </c>
      <c r="G4" s="19">
        <f>IF($F4=0,1,0)</f>
        <v>0</v>
      </c>
    </row>
    <row r="5" spans="1:7" ht="16.5" x14ac:dyDescent="0.25">
      <c r="A5" s="20" t="str">
        <f>TestCoverage!A7 &amp; " (" &amp; TestCoverage!B7 &amp; ")"</f>
        <v>Record Lifecycle Management (17)</v>
      </c>
      <c r="B5" s="21">
        <f>TestCoverage!F7</f>
        <v>1</v>
      </c>
      <c r="C5" s="21">
        <f>TestCoverage!G7</f>
        <v>0</v>
      </c>
      <c r="D5" s="21">
        <f>TestCoverage!H7</f>
        <v>0</v>
      </c>
      <c r="E5" s="21">
        <f>C5 + D5</f>
        <v>0</v>
      </c>
      <c r="F5" s="20">
        <f>TestCoverage!B7</f>
        <v>17</v>
      </c>
      <c r="G5" s="19">
        <f>IF($F5=0,1,0)</f>
        <v>0</v>
      </c>
    </row>
    <row r="6" spans="1:7" ht="16.5" x14ac:dyDescent="0.25">
      <c r="A6" s="20" t="str">
        <f>TestCoverage!A8 &amp; " (" &amp; TestCoverage!B8 &amp; ")"</f>
        <v>User Access &amp; Permissions (1)</v>
      </c>
      <c r="B6" s="21">
        <f>TestCoverage!F8</f>
        <v>1</v>
      </c>
      <c r="C6" s="21">
        <f>TestCoverage!G8</f>
        <v>0</v>
      </c>
      <c r="D6" s="21">
        <f>TestCoverage!H8</f>
        <v>0</v>
      </c>
      <c r="E6" s="21">
        <f>C6 + D6</f>
        <v>0</v>
      </c>
      <c r="F6" s="20">
        <f>TestCoverage!B8</f>
        <v>1</v>
      </c>
      <c r="G6" s="19">
        <f>IF($F6=0,1,0)</f>
        <v>0</v>
      </c>
    </row>
    <row r="7" spans="1:7" ht="16.5" x14ac:dyDescent="0.25">
      <c r="A7" s="20" t="str">
        <f>TestCoverage!A9 &amp; " (" &amp; TestCoverage!B9 &amp; ")"</f>
        <v>Assignment &amp; Routing (8)</v>
      </c>
      <c r="B7" s="21">
        <f>TestCoverage!F9</f>
        <v>1</v>
      </c>
      <c r="C7" s="21">
        <f>TestCoverage!G9</f>
        <v>0</v>
      </c>
      <c r="D7" s="21">
        <f>TestCoverage!H9</f>
        <v>0</v>
      </c>
      <c r="E7" s="21">
        <f>C7 + D7</f>
        <v>0</v>
      </c>
      <c r="F7" s="20">
        <f>TestCoverage!B9</f>
        <v>8</v>
      </c>
      <c r="G7" s="19">
        <f>IF($F7=0,1,0)</f>
        <v>0</v>
      </c>
    </row>
    <row r="8" spans="1:7" ht="16.5" x14ac:dyDescent="0.25">
      <c r="A8" s="20" t="str">
        <f>TestCoverage!A10 &amp; " (" &amp; TestCoverage!B10 &amp; ")"</f>
        <v>API End To End ()</v>
      </c>
      <c r="B8" s="21" t="str">
        <f>TestCoverage!F10</f>
        <v/>
      </c>
      <c r="C8" s="21">
        <f>TestCoverage!G10</f>
        <v>0</v>
      </c>
      <c r="D8" s="21">
        <f>TestCoverage!H10</f>
        <v>0</v>
      </c>
      <c r="E8" s="21">
        <f>C8 + D8</f>
        <v>0</v>
      </c>
      <c r="F8" s="20">
        <f>TestCoverage!B10</f>
        <v>0</v>
      </c>
      <c r="G8" s="19">
        <f>IF($F8=0,1,0)</f>
        <v>1</v>
      </c>
    </row>
    <row r="9" spans="1:7" ht="16.5" x14ac:dyDescent="0.25">
      <c r="A9" s="20" t="str">
        <f>TestCoverage!A11 &amp; " (" &amp; TestCoverage!B11 &amp; ")"</f>
        <v>Search &amp; Filters ()</v>
      </c>
      <c r="B9" s="21" t="str">
        <f>TestCoverage!F11</f>
        <v/>
      </c>
      <c r="C9" s="21">
        <f>TestCoverage!G11</f>
        <v>0</v>
      </c>
      <c r="D9" s="21">
        <f>TestCoverage!H11</f>
        <v>0</v>
      </c>
      <c r="E9" s="21">
        <f>C9 + D9</f>
        <v>0</v>
      </c>
      <c r="F9" s="20">
        <f>TestCoverage!B11</f>
        <v>0</v>
      </c>
      <c r="G9" s="19">
        <f>IF($F9=0,1,0)</f>
        <v>1</v>
      </c>
    </row>
    <row r="10" spans="1:7" ht="16.5" x14ac:dyDescent="0.25">
      <c r="A10" s="20" t="str">
        <f>TestCoverage!A12 &amp; " (" &amp; TestCoverage!B12 &amp; ")"</f>
        <v>Reporting &amp; Data Export ()</v>
      </c>
      <c r="B10" s="21" t="str">
        <f>TestCoverage!F12</f>
        <v/>
      </c>
      <c r="C10" s="21">
        <f>TestCoverage!G12</f>
        <v>0</v>
      </c>
      <c r="D10" s="21">
        <f>TestCoverage!H12</f>
        <v>0</v>
      </c>
      <c r="E10" s="21">
        <f>C10 + D10</f>
        <v>0</v>
      </c>
      <c r="F10" s="20">
        <f>TestCoverage!B12</f>
        <v>0</v>
      </c>
      <c r="G10" s="19">
        <f>IF($F10=0,1,0)</f>
        <v>1</v>
      </c>
    </row>
    <row r="11" spans="1:7" ht="16.5" x14ac:dyDescent="0.25">
      <c r="A11" s="20" t="str">
        <f>TestCoverage!A13 &amp; " (" &amp; TestCoverage!B13 &amp; ")"</f>
        <v>Accessibility (Section 508 Compliance) ()</v>
      </c>
      <c r="B11" s="21" t="str">
        <f>TestCoverage!F13</f>
        <v/>
      </c>
      <c r="C11" s="21">
        <f>TestCoverage!G13</f>
        <v>0</v>
      </c>
      <c r="D11" s="21">
        <f>TestCoverage!H13</f>
        <v>0</v>
      </c>
      <c r="E11" s="21">
        <f>C11 + D11</f>
        <v>0</v>
      </c>
      <c r="F11" s="20">
        <f>TestCoverage!B13</f>
        <v>0</v>
      </c>
      <c r="G11" s="19">
        <f>IF($F11=0,1,0)</f>
        <v>1</v>
      </c>
    </row>
    <row r="12" spans="1:7" ht="16.5" x14ac:dyDescent="0.25">
      <c r="A12" s="20" t="str">
        <f>TestCoverage!A14 &amp; " (" &amp; TestCoverage!B14 &amp; ")"</f>
        <v>Email Notifications &amp; Alerts ()</v>
      </c>
      <c r="B12" s="21" t="str">
        <f>TestCoverage!F14</f>
        <v/>
      </c>
      <c r="C12" s="21">
        <f>TestCoverage!G14</f>
        <v>0</v>
      </c>
      <c r="D12" s="21">
        <f>TestCoverage!H14</f>
        <v>0</v>
      </c>
      <c r="E12" s="21">
        <f>C12 + D12</f>
        <v>0</v>
      </c>
      <c r="F12" s="20">
        <f>TestCoverage!B14</f>
        <v>0</v>
      </c>
      <c r="G12" s="19">
        <f>IF($F12=0,1,0)</f>
        <v>1</v>
      </c>
    </row>
    <row r="13" spans="1:7" ht="16.5" x14ac:dyDescent="0.25">
      <c r="A13" s="20" t="str">
        <f>TestCoverage!A15 &amp; " (" &amp; TestCoverage!B15 &amp; ")"</f>
        <v>Timeline &amp; SLA Management (10)</v>
      </c>
      <c r="B13" s="21">
        <f>TestCoverage!F15</f>
        <v>1</v>
      </c>
      <c r="C13" s="21">
        <f>TestCoverage!G15</f>
        <v>0</v>
      </c>
      <c r="D13" s="21">
        <f>TestCoverage!H15</f>
        <v>0</v>
      </c>
      <c r="E13" s="21">
        <f>C13 + D13</f>
        <v>0</v>
      </c>
      <c r="F13" s="20">
        <f>TestCoverage!B15</f>
        <v>10</v>
      </c>
      <c r="G13" s="19">
        <f>IF($F13=0,1,0)</f>
        <v>0</v>
      </c>
    </row>
    <row r="14" spans="1:7" ht="16.5" x14ac:dyDescent="0.25">
      <c r="A14" s="20" t="str">
        <f>TestCoverage!A16 &amp; " (" &amp; TestCoverage!B16 &amp; ")"</f>
        <v>Document Management ()</v>
      </c>
      <c r="B14" s="21" t="str">
        <f>TestCoverage!F16</f>
        <v/>
      </c>
      <c r="C14" s="21">
        <f>TestCoverage!G16</f>
        <v>0</v>
      </c>
      <c r="D14" s="21">
        <f>TestCoverage!H16</f>
        <v>0</v>
      </c>
      <c r="E14" s="21">
        <f>C14 + D14</f>
        <v>0</v>
      </c>
      <c r="F14" s="20">
        <f>TestCoverage!B16</f>
        <v>0</v>
      </c>
      <c r="G14" s="19">
        <f>IF($F14=0,1,0)</f>
        <v>1</v>
      </c>
    </row>
    <row r="15" spans="1:7" ht="16.5" x14ac:dyDescent="0.25">
      <c r="A15" s="20" t="str">
        <f>TestCoverage!A3 &amp; " (" &amp; TestCoverage!B3 &amp; ")"</f>
        <v>Validations &amp; Business Rules (25)</v>
      </c>
      <c r="B15" s="21">
        <f>TestCoverage!F3</f>
        <v>0.76</v>
      </c>
      <c r="C15" s="21">
        <f>TestCoverage!G3</f>
        <v>0.24</v>
      </c>
      <c r="D15" s="21">
        <f>TestCoverage!H3</f>
        <v>0</v>
      </c>
      <c r="E15" s="21">
        <f>C15 + D15</f>
        <v>0.24</v>
      </c>
      <c r="F15" s="20">
        <f>TestCoverage!B3</f>
        <v>25</v>
      </c>
      <c r="G15" s="19">
        <f>IF($F15=0,1,0)</f>
        <v>0</v>
      </c>
    </row>
    <row r="16" spans="1:7" ht="16.5" x14ac:dyDescent="0.25">
      <c r="A16" s="20" t="str">
        <f>TestCoverage!A17 &amp; " (" &amp; TestCoverage!B17 &amp; ")"</f>
        <v>TOTAL (71)</v>
      </c>
      <c r="B16" s="21">
        <f>TestCoverage!F17</f>
        <v>0.91549295774647887</v>
      </c>
      <c r="C16" s="21">
        <f>TestCoverage!G17</f>
        <v>8.4507042253521125E-2</v>
      </c>
      <c r="D16" s="21">
        <f>TestCoverage!H17</f>
        <v>0</v>
      </c>
      <c r="E16" s="21"/>
      <c r="F16" s="20">
        <f>TestCoverage!B17</f>
        <v>71</v>
      </c>
      <c r="G16" s="19">
        <f>COUNTIF(F2:F14,0)/COUNTA(A2:A14)</f>
        <v>0.53846153846153844</v>
      </c>
    </row>
  </sheetData>
  <sortState xmlns:xlrd2="http://schemas.microsoft.com/office/spreadsheetml/2017/richdata2" ref="A2:G16"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2026-03-17T19:01:28Z</dcterms:modified>
</cp:coreProperties>
</file>